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yougov-my.sharepoint.com/personal/emmanuel_guizar_yougov_ch/Documents/EmmanuelDrive/30-Resources/standardizedSyntaxes/YouAnalyser/inst/extdata/"/>
    </mc:Choice>
  </mc:AlternateContent>
  <xr:revisionPtr revIDLastSave="5" documentId="13_ncr:1_{1B88F804-6030-47C3-B0C5-FBFC17E888BD}" xr6:coauthVersionLast="47" xr6:coauthVersionMax="47" xr10:uidLastSave="{6072812B-95D2-4AB3-B4D5-915AE94AE8B6}"/>
  <bookViews>
    <workbookView xWindow="34470" yWindow="-10320" windowWidth="22485" windowHeight="18090" xr2:uid="{F8C5C5B4-D325-4FB4-9D38-CF60D67FD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0" i="1" l="1"/>
  <c r="L10" i="1"/>
  <c r="M9" i="1"/>
  <c r="L9" i="1"/>
  <c r="E8" i="1"/>
  <c r="E35" i="1"/>
  <c r="E34" i="1"/>
  <c r="E33" i="1"/>
  <c r="E32" i="1"/>
  <c r="E31" i="1"/>
  <c r="E30" i="1"/>
  <c r="I30" i="1" s="1"/>
  <c r="E29" i="1"/>
  <c r="E28" i="1"/>
  <c r="E27" i="1"/>
  <c r="E26" i="1"/>
  <c r="E25" i="1"/>
  <c r="E24" i="1"/>
  <c r="E23" i="1"/>
  <c r="E22" i="1"/>
  <c r="I21" i="1"/>
  <c r="H21" i="1"/>
  <c r="G21" i="1"/>
  <c r="F21" i="1"/>
  <c r="I20" i="1"/>
  <c r="H20" i="1"/>
  <c r="G20" i="1"/>
  <c r="F20" i="1"/>
  <c r="E19" i="1"/>
  <c r="E18" i="1"/>
  <c r="E17" i="1"/>
  <c r="E16" i="1"/>
  <c r="E15" i="1"/>
  <c r="E14" i="1"/>
  <c r="E13" i="1"/>
  <c r="M8" i="1"/>
  <c r="L8" i="1"/>
  <c r="M6" i="1"/>
  <c r="L6" i="1"/>
  <c r="M5" i="1"/>
  <c r="L5" i="1"/>
  <c r="E5" i="1" l="1"/>
  <c r="E6" i="1"/>
  <c r="E7" i="1"/>
  <c r="E9" i="1"/>
  <c r="E10" i="1"/>
  <c r="E11" i="1"/>
  <c r="E12" i="1"/>
  <c r="F33" i="1"/>
  <c r="I33" i="1"/>
  <c r="G33" i="1"/>
  <c r="H33" i="1"/>
  <c r="I35" i="1"/>
  <c r="H35" i="1"/>
  <c r="G35" i="1"/>
  <c r="F35" i="1"/>
  <c r="I34" i="1"/>
  <c r="H34" i="1"/>
  <c r="G34" i="1"/>
  <c r="F34" i="1"/>
  <c r="G32" i="1"/>
  <c r="F32" i="1"/>
  <c r="I32" i="1"/>
  <c r="H32" i="1"/>
  <c r="F31" i="1"/>
  <c r="G31" i="1"/>
  <c r="H31" i="1"/>
  <c r="I31" i="1"/>
  <c r="G30" i="1"/>
  <c r="F30" i="1"/>
  <c r="H30" i="1"/>
  <c r="I29" i="1"/>
  <c r="H29" i="1"/>
  <c r="G29" i="1"/>
  <c r="F29" i="1"/>
  <c r="F28" i="1"/>
  <c r="H28" i="1"/>
  <c r="I28" i="1"/>
  <c r="G28" i="1"/>
  <c r="I27" i="1"/>
  <c r="H27" i="1"/>
  <c r="G27" i="1"/>
  <c r="F27" i="1"/>
  <c r="G26" i="1"/>
  <c r="I26" i="1"/>
  <c r="H26" i="1"/>
  <c r="F26" i="1"/>
  <c r="H25" i="1"/>
  <c r="I25" i="1"/>
  <c r="G25" i="1"/>
  <c r="F25" i="1"/>
  <c r="G24" i="1"/>
  <c r="H24" i="1"/>
  <c r="I24" i="1"/>
  <c r="F24" i="1"/>
  <c r="I23" i="1"/>
  <c r="H23" i="1"/>
  <c r="G23" i="1"/>
  <c r="F23" i="1"/>
  <c r="H22" i="1"/>
  <c r="I22" i="1"/>
  <c r="F22" i="1"/>
  <c r="G22" i="1"/>
  <c r="I19" i="1"/>
  <c r="H19" i="1"/>
  <c r="G19" i="1"/>
  <c r="F19" i="1"/>
  <c r="F18" i="1"/>
  <c r="I18" i="1"/>
  <c r="H18" i="1"/>
  <c r="G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H13" i="1"/>
  <c r="I13" i="1"/>
  <c r="G13" i="1"/>
  <c r="F13" i="1"/>
  <c r="Q28" i="1" l="1" a="1"/>
  <c r="Q28" i="1" s="1"/>
  <c r="O28" i="1" a="1"/>
  <c r="O28" i="1" s="1"/>
  <c r="U27" i="1" a="1"/>
  <c r="U27" i="1" s="1"/>
  <c r="U26" i="1" a="1"/>
  <c r="U26" i="1" s="1"/>
  <c r="S26" i="1" a="1"/>
  <c r="S26" i="1" s="1"/>
  <c r="P26" i="1" a="1"/>
  <c r="P26" i="1" s="1"/>
  <c r="V25" i="1" a="1"/>
  <c r="V25" i="1" s="1"/>
  <c r="T25" i="1" a="1"/>
  <c r="T25" i="1" s="1"/>
  <c r="Q25" i="1" a="1"/>
  <c r="Q25" i="1" s="1"/>
  <c r="O25" i="1" a="1"/>
  <c r="O25" i="1" s="1"/>
  <c r="U24" i="1" a="1"/>
  <c r="U24" i="1" s="1"/>
  <c r="S24" i="1" a="1"/>
  <c r="S24" i="1" s="1"/>
  <c r="V23" i="1" a="1"/>
  <c r="V23" i="1" s="1"/>
  <c r="T23" i="1" a="1"/>
  <c r="T23" i="1" s="1"/>
  <c r="R23" i="1" a="1"/>
  <c r="R23" i="1" s="1"/>
  <c r="O23" i="1" a="1"/>
  <c r="O23" i="1" s="1"/>
  <c r="U22" i="1" a="1"/>
  <c r="U22" i="1" s="1"/>
  <c r="S22" i="1" a="1"/>
  <c r="S22" i="1" s="1"/>
  <c r="Q22" i="1" a="1"/>
  <c r="Q22" i="1" s="1"/>
  <c r="O22" i="1" a="1"/>
  <c r="O22" i="1" s="1"/>
  <c r="P21" i="1" a="1"/>
  <c r="P21" i="1" s="1"/>
  <c r="V20" i="1" a="1"/>
  <c r="V20" i="1" s="1"/>
  <c r="T20" i="1" a="1"/>
  <c r="T20" i="1" s="1"/>
  <c r="Q20" i="1" a="1"/>
  <c r="Q20" i="1" s="1"/>
  <c r="O20" i="1" a="1"/>
  <c r="O20" i="1" s="1"/>
  <c r="U19" i="1" a="1"/>
  <c r="U19" i="1" s="1"/>
  <c r="S19" i="1" a="1"/>
  <c r="S19" i="1" s="1"/>
  <c r="Q19" i="1" a="1"/>
  <c r="Q19" i="1" s="1"/>
  <c r="O19" i="1" a="1"/>
  <c r="O19" i="1" s="1"/>
  <c r="T35" i="1" a="1"/>
  <c r="T35" i="1" s="1"/>
  <c r="R35" i="1" a="1"/>
  <c r="R35" i="1" s="1"/>
  <c r="O18" i="1" a="1"/>
  <c r="O18" i="1" s="1"/>
  <c r="O35" i="1" a="1"/>
  <c r="O35" i="1" s="1"/>
  <c r="V17" i="1" a="1"/>
  <c r="V17" i="1" s="1"/>
  <c r="T17" i="1" a="1"/>
  <c r="T17" i="1" s="1"/>
  <c r="R17" i="1" a="1"/>
  <c r="R17" i="1" s="1"/>
  <c r="P17" i="1" a="1"/>
  <c r="P17" i="1" s="1"/>
  <c r="U34" i="1" a="1"/>
  <c r="U34" i="1" s="1"/>
  <c r="S34" i="1" a="1"/>
  <c r="S34" i="1" s="1"/>
  <c r="U16" i="1" a="1"/>
  <c r="U16" i="1" s="1"/>
  <c r="T16" i="1" a="1"/>
  <c r="T16" i="1" s="1"/>
  <c r="Q16" i="1" a="1"/>
  <c r="Q16" i="1" s="1"/>
  <c r="O16" i="1" a="1"/>
  <c r="O16" i="1" s="1"/>
  <c r="P34" i="1" a="1"/>
  <c r="P34" i="1" s="1"/>
  <c r="V33" i="1" a="1"/>
  <c r="V33" i="1" s="1"/>
  <c r="Q15" i="1" a="1"/>
  <c r="Q15" i="1" s="1"/>
  <c r="U33" i="1" a="1"/>
  <c r="U33" i="1" s="1"/>
  <c r="U32" i="1" a="1"/>
  <c r="U32" i="1" s="1"/>
  <c r="V14" i="1" a="1"/>
  <c r="V14" i="1" s="1"/>
  <c r="T14" i="1" a="1"/>
  <c r="T14" i="1" s="1"/>
  <c r="R14" i="1" a="1"/>
  <c r="R14" i="1" s="1"/>
  <c r="P14" i="1" a="1"/>
  <c r="P14" i="1" s="1"/>
  <c r="S32" i="1" a="1"/>
  <c r="S32" i="1" s="1"/>
  <c r="P32" i="1" a="1"/>
  <c r="P32" i="1" s="1"/>
  <c r="V13" i="1" a="1"/>
  <c r="V13" i="1" s="1"/>
  <c r="S13" i="1" a="1"/>
  <c r="S13" i="1" s="1"/>
  <c r="Q13" i="1" a="1"/>
  <c r="Q13" i="1" s="1"/>
  <c r="O13" i="1" a="1"/>
  <c r="O13" i="1" s="1"/>
  <c r="V31" i="1" a="1"/>
  <c r="V31" i="1" s="1"/>
  <c r="T31" i="1" a="1"/>
  <c r="T31" i="1" s="1"/>
  <c r="P12" i="1" a="1"/>
  <c r="P12" i="1" s="1"/>
  <c r="O12" i="1" a="1"/>
  <c r="O12" i="1" s="1"/>
  <c r="U11" i="1" a="1"/>
  <c r="U11" i="1" s="1"/>
  <c r="Q29" i="1" a="1"/>
  <c r="Q29" i="1" s="1"/>
  <c r="V6" i="1" a="1"/>
  <c r="V6" i="1" s="1"/>
  <c r="T6" i="1" a="1"/>
  <c r="T6" i="1" s="1"/>
  <c r="Q6" i="1" a="1"/>
  <c r="Q6" i="1" s="1"/>
  <c r="P29" i="1" a="1"/>
  <c r="P29" i="1" s="1"/>
  <c r="U5" i="1" a="1"/>
  <c r="U5" i="1" s="1"/>
  <c r="R5" i="1" a="1"/>
  <c r="R5" i="1" s="1"/>
  <c r="P5" i="1" a="1"/>
  <c r="P5" i="1" s="1"/>
  <c r="V8" i="1" a="1"/>
  <c r="V8" i="1" s="1"/>
  <c r="O8" i="1" a="1"/>
  <c r="O8" i="1" s="1"/>
  <c r="T29" i="1" a="1"/>
  <c r="T29" i="1" s="1"/>
  <c r="S29" i="1" a="1"/>
  <c r="S29" i="1" s="1"/>
  <c r="R29" i="1" a="1"/>
  <c r="R29" i="1" s="1"/>
  <c r="U7" i="1" a="1"/>
  <c r="U7" i="1" s="1"/>
  <c r="R6" i="1" a="1"/>
  <c r="R6" i="1" s="1"/>
  <c r="V5" i="1" a="1"/>
  <c r="V5" i="1" s="1"/>
  <c r="R16" i="1" a="1"/>
  <c r="R16" i="1" s="1"/>
  <c r="Q5" i="1" a="1"/>
  <c r="Q5" i="1" s="1"/>
  <c r="V28" i="1" a="1"/>
  <c r="V28" i="1" s="1"/>
  <c r="R28" i="1" a="1"/>
  <c r="R28" i="1" s="1"/>
  <c r="V27" i="1" a="1"/>
  <c r="V27" i="1" s="1"/>
  <c r="T26" i="1" a="1"/>
  <c r="T26" i="1" s="1"/>
  <c r="Q26" i="1" a="1"/>
  <c r="Q26" i="1" s="1"/>
  <c r="U25" i="1" a="1"/>
  <c r="U25" i="1" s="1"/>
  <c r="P25" i="1" a="1"/>
  <c r="P25" i="1" s="1"/>
  <c r="T24" i="1" a="1"/>
  <c r="T24" i="1" s="1"/>
  <c r="U23" i="1" a="1"/>
  <c r="U23" i="1" s="1"/>
  <c r="Q23" i="1" a="1"/>
  <c r="Q23" i="1" s="1"/>
  <c r="V22" i="1" a="1"/>
  <c r="V22" i="1" s="1"/>
  <c r="R22" i="1" a="1"/>
  <c r="R22" i="1" s="1"/>
  <c r="V21" i="1" a="1"/>
  <c r="V21" i="1" s="1"/>
  <c r="U20" i="1" a="1"/>
  <c r="U20" i="1" s="1"/>
  <c r="R20" i="1" a="1"/>
  <c r="R20" i="1" s="1"/>
  <c r="V19" i="1" a="1"/>
  <c r="V19" i="1" s="1"/>
  <c r="R19" i="1" a="1"/>
  <c r="R19" i="1" s="1"/>
  <c r="U35" i="1" a="1"/>
  <c r="U35" i="1" s="1"/>
  <c r="P18" i="1" a="1"/>
  <c r="P18" i="1" s="1"/>
  <c r="P35" i="1" a="1"/>
  <c r="P35" i="1" s="1"/>
  <c r="U17" i="1" a="1"/>
  <c r="U17" i="1" s="1"/>
  <c r="Q17" i="1" a="1"/>
  <c r="Q17" i="1" s="1"/>
  <c r="T34" i="1" a="1"/>
  <c r="T34" i="1" s="1"/>
  <c r="V16" i="1" a="1"/>
  <c r="V16" i="1" s="1"/>
  <c r="V26" i="1" a="1"/>
  <c r="V26" i="1" s="1"/>
  <c r="Q34" i="1" a="1"/>
  <c r="Q34" i="1" s="1"/>
  <c r="V15" i="1" a="1"/>
  <c r="V15" i="1" s="1"/>
  <c r="O15" i="1" a="1"/>
  <c r="O15" i="1" s="1"/>
  <c r="T32" i="1" a="1"/>
  <c r="T32" i="1" s="1"/>
  <c r="S14" i="1" a="1"/>
  <c r="S14" i="1" s="1"/>
  <c r="O14" i="1" a="1"/>
  <c r="O14" i="1" s="1"/>
  <c r="Q32" i="1" a="1"/>
  <c r="Q32" i="1" s="1"/>
  <c r="T13" i="1" a="1"/>
  <c r="T13" i="1" s="1"/>
  <c r="P13" i="1" a="1"/>
  <c r="P13" i="1" s="1"/>
  <c r="U31" i="1" a="1"/>
  <c r="U31" i="1" s="1"/>
  <c r="Q12" i="1" a="1"/>
  <c r="Q12" i="1" s="1"/>
  <c r="V11" i="1" a="1"/>
  <c r="V11" i="1" s="1"/>
  <c r="V7" i="1" a="1"/>
  <c r="V7" i="1" s="1"/>
  <c r="S6" i="1" a="1"/>
  <c r="S6" i="1" s="1"/>
  <c r="O6" i="1" a="1"/>
  <c r="O6" i="1" s="1"/>
  <c r="S5" i="1" a="1"/>
  <c r="S5" i="1" s="1"/>
  <c r="I5" i="1"/>
  <c r="H5" i="1"/>
  <c r="G5" i="1"/>
  <c r="F5" i="1"/>
  <c r="O29" i="1" a="1"/>
  <c r="O29" i="1" s="1"/>
  <c r="S28" i="1" a="1"/>
  <c r="S28" i="1" s="1"/>
  <c r="P28" i="1" a="1"/>
  <c r="P28" i="1" s="1"/>
  <c r="R26" i="1" a="1"/>
  <c r="R26" i="1" s="1"/>
  <c r="O26" i="1" a="1"/>
  <c r="O26" i="1" s="1"/>
  <c r="R25" i="1" a="1"/>
  <c r="R25" i="1" s="1"/>
  <c r="V24" i="1" a="1"/>
  <c r="V24" i="1" s="1"/>
  <c r="O24" i="1" a="1"/>
  <c r="O24" i="1" s="1"/>
  <c r="S23" i="1" a="1"/>
  <c r="S23" i="1" s="1"/>
  <c r="P23" i="1" a="1"/>
  <c r="P23" i="1" s="1"/>
  <c r="T22" i="1" a="1"/>
  <c r="T22" i="1" s="1"/>
  <c r="P22" i="1" a="1"/>
  <c r="P22" i="1" s="1"/>
  <c r="O21" i="1" a="1"/>
  <c r="O21" i="1" s="1"/>
  <c r="V35" i="1" a="1"/>
  <c r="V35" i="1" s="1"/>
  <c r="P20" i="1" a="1"/>
  <c r="P20" i="1" s="1"/>
  <c r="T19" i="1" a="1"/>
  <c r="T19" i="1" s="1"/>
  <c r="P19" i="1" a="1"/>
  <c r="P19" i="1" s="1"/>
  <c r="S35" i="1" a="1"/>
  <c r="S35" i="1" s="1"/>
  <c r="Q35" i="1" a="1"/>
  <c r="Q35" i="1" s="1"/>
  <c r="V34" i="1" a="1"/>
  <c r="V34" i="1" s="1"/>
  <c r="S17" i="1" a="1"/>
  <c r="S17" i="1" s="1"/>
  <c r="O17" i="1" a="1"/>
  <c r="O17" i="1" s="1"/>
  <c r="R34" i="1" a="1"/>
  <c r="R34" i="1" s="1"/>
  <c r="S16" i="1" a="1"/>
  <c r="S16" i="1" s="1"/>
  <c r="P16" i="1" a="1"/>
  <c r="P16" i="1" s="1"/>
  <c r="O34" i="1" a="1"/>
  <c r="O34" i="1" s="1"/>
  <c r="P15" i="1" a="1"/>
  <c r="P15" i="1" s="1"/>
  <c r="V32" i="1" a="1"/>
  <c r="V32" i="1" s="1"/>
  <c r="U14" i="1" a="1"/>
  <c r="U14" i="1" s="1"/>
  <c r="Q14" i="1" a="1"/>
  <c r="Q14" i="1" s="1"/>
  <c r="R32" i="1" a="1"/>
  <c r="R32" i="1" s="1"/>
  <c r="U13" i="1" a="1"/>
  <c r="U13" i="1" s="1"/>
  <c r="R13" i="1" a="1"/>
  <c r="R13" i="1" s="1"/>
  <c r="O32" i="1" a="1"/>
  <c r="O32" i="1" s="1"/>
  <c r="R12" i="1" a="1"/>
  <c r="R12" i="1" s="1"/>
  <c r="S31" i="1" a="1"/>
  <c r="S31" i="1" s="1"/>
  <c r="T11" i="1" a="1"/>
  <c r="T11" i="1" s="1"/>
  <c r="U6" i="1" a="1"/>
  <c r="U6" i="1" s="1"/>
  <c r="P6" i="1" a="1"/>
  <c r="P6" i="1" s="1"/>
  <c r="T5" i="1" a="1"/>
  <c r="T5" i="1" s="1"/>
  <c r="O5" i="1" a="1"/>
  <c r="O5" i="1" s="1"/>
  <c r="S11" i="1" a="1"/>
  <c r="S11" i="1" s="1"/>
  <c r="R11" i="1" a="1"/>
  <c r="R11" i="1" s="1"/>
  <c r="Q11" i="1" a="1"/>
  <c r="Q11" i="1" s="1"/>
  <c r="P11" i="1" a="1"/>
  <c r="P11" i="1" s="1"/>
  <c r="O11" i="1" a="1"/>
  <c r="O11" i="1" s="1"/>
  <c r="R31" i="1" a="1"/>
  <c r="R31" i="1" s="1"/>
  <c r="V10" i="1" a="1"/>
  <c r="V10" i="1" s="1"/>
  <c r="U10" i="1" a="1"/>
  <c r="U10" i="1" s="1"/>
  <c r="T10" i="1" a="1"/>
  <c r="T10" i="1" s="1"/>
  <c r="S10" i="1" a="1"/>
  <c r="S10" i="1" s="1"/>
  <c r="R10" i="1" a="1"/>
  <c r="R10" i="1" s="1"/>
  <c r="Q10" i="1" a="1"/>
  <c r="Q10" i="1" s="1"/>
  <c r="P10" i="1" a="1"/>
  <c r="P10" i="1" s="1"/>
  <c r="Q31" i="1" a="1"/>
  <c r="Q31" i="1" s="1"/>
  <c r="P31" i="1" a="1"/>
  <c r="P31" i="1" s="1"/>
  <c r="O31" i="1" a="1"/>
  <c r="O31" i="1" s="1"/>
  <c r="V30" i="1" a="1"/>
  <c r="V30" i="1" s="1"/>
  <c r="R9" i="1" a="1"/>
  <c r="R9" i="1" s="1"/>
  <c r="Q9" i="1" a="1"/>
  <c r="Q9" i="1" s="1"/>
  <c r="P9" i="1" a="1"/>
  <c r="P9" i="1" s="1"/>
  <c r="O9" i="1" a="1"/>
  <c r="O9" i="1" s="1"/>
  <c r="U30" i="1" a="1"/>
  <c r="U30" i="1" s="1"/>
  <c r="V29" i="1" a="1"/>
  <c r="V29" i="1" s="1"/>
  <c r="U29" i="1" a="1"/>
  <c r="U29" i="1" s="1"/>
  <c r="S20" i="1" a="1"/>
  <c r="S20" i="1" s="1"/>
  <c r="U8" i="1" a="1"/>
  <c r="U8" i="1" s="1"/>
  <c r="T8" i="1" a="1"/>
  <c r="T8" i="1" s="1"/>
  <c r="S8" i="1" a="1"/>
  <c r="S8" i="1" s="1"/>
  <c r="R8" i="1" a="1"/>
  <c r="R8" i="1" s="1"/>
  <c r="Q8" i="1" a="1"/>
  <c r="Q8" i="1" s="1"/>
  <c r="P8" i="1" a="1"/>
  <c r="P8" i="1" s="1"/>
  <c r="F7" i="1"/>
  <c r="G7" i="1"/>
  <c r="I7" i="1"/>
  <c r="H7" i="1"/>
  <c r="I8" i="1"/>
  <c r="H8" i="1"/>
  <c r="G8" i="1"/>
  <c r="F8" i="1"/>
  <c r="I10" i="1"/>
  <c r="H10" i="1"/>
  <c r="G10" i="1"/>
  <c r="F10" i="1"/>
  <c r="U28" i="1" a="1"/>
  <c r="U28" i="1" s="1"/>
  <c r="T28" i="1" a="1"/>
  <c r="T28" i="1" s="1"/>
  <c r="F12" i="1"/>
  <c r="G12" i="1"/>
  <c r="H12" i="1"/>
  <c r="I12" i="1"/>
  <c r="F11" i="1"/>
  <c r="G11" i="1"/>
  <c r="H11" i="1"/>
  <c r="I11" i="1"/>
  <c r="F9" i="1"/>
  <c r="G9" i="1"/>
  <c r="H9" i="1"/>
  <c r="I9" i="1"/>
  <c r="F6" i="1"/>
  <c r="G6" i="1"/>
  <c r="H6" i="1"/>
  <c r="I6" i="1"/>
  <c r="Q7" i="1" a="1"/>
  <c r="Q7" i="1" s="1"/>
  <c r="R7" i="1" a="1"/>
  <c r="R7" i="1" s="1"/>
  <c r="S7" i="1" a="1"/>
  <c r="S7" i="1" s="1"/>
  <c r="T7" i="1" a="1"/>
  <c r="T7" i="1" s="1"/>
  <c r="O7" i="1" a="1"/>
  <c r="O7" i="1" s="1"/>
  <c r="U9" i="1" a="1"/>
  <c r="U9" i="1" s="1"/>
  <c r="V9" i="1" a="1"/>
  <c r="V9" i="1" s="1"/>
  <c r="O10" i="1" a="1"/>
  <c r="O10" i="1" s="1"/>
  <c r="T9" i="1" a="1"/>
  <c r="T9" i="1" s="1"/>
  <c r="S12" i="1" a="1"/>
  <c r="S12" i="1" s="1"/>
  <c r="T12" i="1" a="1"/>
  <c r="T12" i="1" s="1"/>
  <c r="U12" i="1" a="1"/>
  <c r="U12" i="1" s="1"/>
  <c r="V12" i="1" a="1"/>
  <c r="V12" i="1" s="1"/>
  <c r="P7" i="1" a="1"/>
  <c r="P7" i="1" s="1"/>
  <c r="R15" i="1" a="1"/>
  <c r="R15" i="1" s="1"/>
  <c r="S15" i="1" a="1"/>
  <c r="S15" i="1" s="1"/>
  <c r="T15" i="1" a="1"/>
  <c r="T15" i="1" s="1"/>
  <c r="U15" i="1" a="1"/>
  <c r="U15" i="1" s="1"/>
  <c r="R18" i="1" a="1"/>
  <c r="R18" i="1" s="1"/>
  <c r="S18" i="1" a="1"/>
  <c r="S18" i="1" s="1"/>
  <c r="T18" i="1" a="1"/>
  <c r="T18" i="1" s="1"/>
  <c r="U18" i="1" a="1"/>
  <c r="U18" i="1" s="1"/>
  <c r="V18" i="1" a="1"/>
  <c r="V18" i="1" s="1"/>
  <c r="Q21" i="1" a="1"/>
  <c r="Q21" i="1" s="1"/>
  <c r="S21" i="1" a="1"/>
  <c r="S21" i="1" s="1"/>
  <c r="T21" i="1" a="1"/>
  <c r="T21" i="1" s="1"/>
  <c r="U21" i="1" a="1"/>
  <c r="U21" i="1" s="1"/>
  <c r="Q18" i="1" a="1"/>
  <c r="Q18" i="1" s="1"/>
  <c r="R21" i="1" a="1"/>
  <c r="R21" i="1" s="1"/>
  <c r="P24" i="1" a="1"/>
  <c r="P24" i="1" s="1"/>
  <c r="Q24" i="1" a="1"/>
  <c r="Q24" i="1" s="1"/>
  <c r="R24" i="1" a="1"/>
  <c r="R24" i="1" s="1"/>
  <c r="P27" i="1" a="1"/>
  <c r="P27" i="1" s="1"/>
  <c r="Q27" i="1" a="1"/>
  <c r="Q27" i="1" s="1"/>
  <c r="R27" i="1" a="1"/>
  <c r="R27" i="1" s="1"/>
  <c r="S27" i="1" a="1"/>
  <c r="S27" i="1" s="1"/>
  <c r="T27" i="1" a="1"/>
  <c r="T27" i="1" s="1"/>
  <c r="O30" i="1" a="1"/>
  <c r="O30" i="1" s="1"/>
  <c r="R30" i="1" a="1"/>
  <c r="R30" i="1" s="1"/>
  <c r="S30" i="1" a="1"/>
  <c r="S30" i="1" s="1"/>
  <c r="T30" i="1" a="1"/>
  <c r="T30" i="1" s="1"/>
  <c r="O27" i="1" a="1"/>
  <c r="O27" i="1" s="1"/>
  <c r="P30" i="1" a="1"/>
  <c r="P30" i="1" s="1"/>
  <c r="O33" i="1" a="1"/>
  <c r="O33" i="1" s="1"/>
  <c r="Q33" i="1" a="1"/>
  <c r="Q33" i="1" s="1"/>
  <c r="S33" i="1" a="1"/>
  <c r="S33" i="1" s="1"/>
  <c r="Q30" i="1" a="1"/>
  <c r="Q30" i="1" s="1"/>
  <c r="P33" i="1" a="1"/>
  <c r="P33" i="1" s="1"/>
  <c r="R33" i="1" a="1"/>
  <c r="R33" i="1" s="1"/>
  <c r="T33" i="1" a="1"/>
  <c r="T33" i="1" s="1"/>
  <c r="S25" i="1" a="1"/>
  <c r="S25" i="1" s="1"/>
  <c r="S9" i="1" a="1"/>
  <c r="S9" i="1" s="1"/>
</calcChain>
</file>

<file path=xl/sharedStrings.xml><?xml version="1.0" encoding="utf-8"?>
<sst xmlns="http://schemas.openxmlformats.org/spreadsheetml/2006/main" count="27" uniqueCount="27">
  <si>
    <t>Einstellungen</t>
  </si>
  <si>
    <t>Kreuz</t>
  </si>
  <si>
    <t>Mittelwert</t>
  </si>
  <si>
    <t>Labels</t>
  </si>
  <si>
    <t>$Col1</t>
  </si>
  <si>
    <t>Labelname</t>
  </si>
  <si>
    <t>X-axes</t>
  </si>
  <si>
    <t>Y-axes</t>
  </si>
  <si>
    <t>Quadrant-Nr</t>
  </si>
  <si>
    <t>Q1</t>
  </si>
  <si>
    <t>Q2</t>
  </si>
  <si>
    <t>Q3</t>
  </si>
  <si>
    <t>Q4</t>
  </si>
  <si>
    <t>Axes</t>
  </si>
  <si>
    <t>X</t>
  </si>
  <si>
    <t>Y</t>
  </si>
  <si>
    <t>Beobachten</t>
  </si>
  <si>
    <t>Beibehalten</t>
  </si>
  <si>
    <t>Investieren</t>
  </si>
  <si>
    <t>Geringe Priorität</t>
  </si>
  <si>
    <t>Max</t>
  </si>
  <si>
    <t>Min</t>
  </si>
  <si>
    <t>Tick</t>
  </si>
  <si>
    <t>Achsenwert</t>
  </si>
  <si>
    <t>Achsenmaximum</t>
  </si>
  <si>
    <t>Achsenminimum</t>
  </si>
  <si>
    <t>Diese Einstellungen können geändert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</si>
</sst>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"/>
    <numFmt numFmtId="167" formatCode="0.0"/>
    <numFmt numFmtId="168" formatCode="0.00000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quotePrefix="1" applyFont="1"/>
    <xf numFmtId="2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1" xfId="0" applyFont="1" applyBorder="1"/>
    <xf numFmtId="165" fontId="3" fillId="0" borderId="5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6" xfId="0" applyFont="1" applyBorder="1"/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168" fontId="3" fillId="0" borderId="0" xfId="1" applyNumberFormat="1" applyFont="1"/>
    <xf numFmtId="0" fontId="3" fillId="2" borderId="0" xfId="0" applyFont="1" applyFill="1"/>
    <xf numFmtId="9" fontId="3" fillId="2" borderId="0" xfId="1" applyFont="1" applyFill="1" applyBorder="1" applyProtection="1"/>
    <xf numFmtId="9" fontId="3" fillId="2" borderId="0" xfId="1" applyFont="1" applyFill="1"/>
    <xf numFmtId="9" fontId="3" fillId="2" borderId="0" xfId="1" applyFont="1" applyFill="1" applyBorder="1"/>
    <xf numFmtId="167" fontId="3" fillId="2" borderId="0" xfId="0" applyNumberFormat="1" applyFont="1" applyFill="1"/>
    <xf numFmtId="2" fontId="3" fillId="2" borderId="0" xfId="0" applyNumberFormat="1" applyFont="1" applyFill="1"/>
    <xf numFmtId="164" fontId="3" fillId="2" borderId="0" xfId="0" applyNumberFormat="1" applyFont="1" applyFill="1"/>
    <xf numFmtId="0" fontId="5" fillId="2" borderId="0" xfId="0" applyFont="1" applyFill="1"/>
    <xf numFmtId="165" fontId="3" fillId="0" borderId="0" xfId="0" applyNumberFormat="1" applyFont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5" tint="0.79998168889431442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5" tint="0.79998168889431442"/>
        </patternFill>
      </fill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Q1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Sheet1!$C$5:$C$35</c:f>
              <c:numCache>
                <c:formatCode>0%</c:formatCode>
                <c:ptCount val="31"/>
              </c:numCache>
            </c:numRef>
          </c:xVal>
          <c:yVal>
            <c:numRef>
              <c:f>Sheet1!$F$5:$F$35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7-4F0B-AE2B-D12B377B41FC}"/>
            </c:ext>
          </c:extLst>
        </c:ser>
        <c:ser>
          <c:idx val="1"/>
          <c:order val="1"/>
          <c:tx>
            <c:strRef>
              <c:f>Sheet1!$G$4</c:f>
              <c:strCache>
                <c:ptCount val="1"/>
                <c:pt idx="0">
                  <c:v>Q2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537-4F0B-AE2B-D12B377B41FC}"/>
              </c:ext>
            </c:extLst>
          </c:dPt>
          <c:xVal>
            <c:numRef>
              <c:f>Sheet1!$C$5:$C$35</c:f>
              <c:numCache>
                <c:formatCode>0%</c:formatCode>
                <c:ptCount val="31"/>
              </c:numCache>
            </c:numRef>
          </c:xVal>
          <c:yVal>
            <c:numRef>
              <c:f>Sheet1!$G$5:$G$35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37-4F0B-AE2B-D12B377B41FC}"/>
            </c:ext>
          </c:extLst>
        </c:ser>
        <c:ser>
          <c:idx val="2"/>
          <c:order val="2"/>
          <c:tx>
            <c:strRef>
              <c:f>Sheet1!$H$4</c:f>
              <c:strCache>
                <c:ptCount val="1"/>
                <c:pt idx="0">
                  <c:v>Q3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537-4F0B-AE2B-D12B377B41FC}"/>
              </c:ext>
            </c:extLst>
          </c:dPt>
          <c:xVal>
            <c:numRef>
              <c:f>Sheet1!$C$5:$C$35</c:f>
              <c:numCache>
                <c:formatCode>0%</c:formatCode>
                <c:ptCount val="31"/>
              </c:numCache>
            </c:numRef>
          </c:xVal>
          <c:yVal>
            <c:numRef>
              <c:f>Sheet1!$H$5:$H$35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37-4F0B-AE2B-D12B377B41FC}"/>
            </c:ext>
          </c:extLst>
        </c:ser>
        <c:ser>
          <c:idx val="3"/>
          <c:order val="3"/>
          <c:tx>
            <c:strRef>
              <c:f>Sheet1!$I$4</c:f>
              <c:strCache>
                <c:ptCount val="1"/>
                <c:pt idx="0">
                  <c:v>Q4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Sheet1!$C$5:$C$35</c:f>
              <c:numCache>
                <c:formatCode>0%</c:formatCode>
                <c:ptCount val="31"/>
              </c:numCache>
            </c:numRef>
          </c:xVal>
          <c:yVal>
            <c:numRef>
              <c:f>Sheet1!$I$5:$I$35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37-4F0B-AE2B-D12B377B4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626303"/>
        <c:axId val="768611903"/>
      </c:scatterChart>
      <c:valAx>
        <c:axId val="76862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Importance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8611903"/>
        <c:crosses val="autoZero"/>
        <c:crossBetween val="midCat"/>
      </c:valAx>
      <c:valAx>
        <c:axId val="76861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862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37</xdr:row>
      <xdr:rowOff>19049</xdr:rowOff>
    </xdr:from>
    <xdr:to>
      <xdr:col>13</xdr:col>
      <xdr:colOff>809625</xdr:colOff>
      <xdr:row>59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BD443-60D2-8C58-BFBD-61F6FFE05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2F9AD-B70E-447E-8231-C16DAEA89C74}" name="Tabelle1" displayName="Tabelle1" ref="A4:B35" totalsRowShown="0" headerRowDxfId="4" dataDxfId="3" tableBorderDxfId="2">
  <tableColumns count="2">
    <tableColumn id="1" xr3:uid="{5298E1A8-24F8-4DF5-8134-6AF23445AF1A}" name="$Col1" dataDxfId="1"/>
    <tableColumn id="2" xr3:uid="{CE4C2D29-A4C5-49F9-9EC1-33FC350419AD}" name="Label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YouGov_theme">
  <a:themeElements>
    <a:clrScheme name="Custom 2">
      <a:dk1>
        <a:srgbClr val="000000"/>
      </a:dk1>
      <a:lt1>
        <a:srgbClr val="FFFFFF"/>
      </a:lt1>
      <a:dk2>
        <a:srgbClr val="33415C"/>
      </a:dk2>
      <a:lt2>
        <a:srgbClr val="E6E8ED"/>
      </a:lt2>
      <a:accent1>
        <a:srgbClr val="06A6EE"/>
      </a:accent1>
      <a:accent2>
        <a:srgbClr val="808DA5"/>
      </a:accent2>
      <a:accent3>
        <a:srgbClr val="FF2380"/>
      </a:accent3>
      <a:accent4>
        <a:srgbClr val="31CAA8"/>
      </a:accent4>
      <a:accent5>
        <a:srgbClr val="FF412C"/>
      </a:accent5>
      <a:accent6>
        <a:srgbClr val="9F29FF"/>
      </a:accent6>
      <a:hlink>
        <a:srgbClr val="FF412C"/>
      </a:hlink>
      <a:folHlink>
        <a:srgbClr val="808DA5"/>
      </a:folHlink>
    </a:clrScheme>
    <a:fontScheme name="YouGov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solidFill>
            <a:schemeClr val="accent1"/>
          </a:solidFill>
        </a:ln>
      </a:spPr>
      <a:bodyPr lIns="72000" tIns="36000" rIns="72000" bIns="36000" rtlCol="0" anchor="ctr"/>
      <a:lstStyle>
        <a:defPPr algn="ctr">
          <a:defRPr sz="1400" noProof="0" dirty="0" err="1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sz="1400" dirty="0" err="1" smtClean="0"/>
        </a:defPPr>
      </a:lstStyle>
    </a:txDef>
  </a:objectDefaults>
  <a:extraClrSchemeLst/>
  <a:custClrLst>
    <a:custClr name="White">
      <a:srgbClr val="FFFFFF"/>
    </a:custClr>
    <a:custClr name="Black">
      <a:srgbClr val="000000"/>
    </a:custClr>
    <a:custClr name="Stone gray 7">
      <a:srgbClr val="E6E8ED"/>
    </a:custClr>
    <a:custClr name="Stone gray 1">
      <a:srgbClr val="33415C"/>
    </a:custClr>
    <a:custClr name="Grapefruit">
      <a:srgbClr val="FF412C"/>
    </a:custClr>
    <a:custClr name="Plum">
      <a:srgbClr val="9F29FF"/>
    </a:custClr>
    <a:custClr name="Blueberry">
      <a:srgbClr val="06A6EE"/>
    </a:custClr>
    <a:custClr name="Avocado">
      <a:srgbClr val="31CAA8"/>
    </a:custClr>
    <a:custClr name="Stone gray 3">
      <a:srgbClr val="808DA5"/>
    </a:custClr>
    <a:custClr name="Pomegranate">
      <a:srgbClr val="FF2380"/>
    </a:custClr>
    <a:custClr>
      <a:srgbClr val="FFFFFF"/>
    </a:custClr>
    <a:custClr>
      <a:srgbClr val="FFFFFF"/>
    </a:custClr>
    <a:custClr name="Stone gray 6">
      <a:srgbClr val="CCD1DB"/>
    </a:custClr>
    <a:custClr name="Stone gray 2">
      <a:srgbClr val="616E90"/>
    </a:custClr>
    <a:custClr name="Grapefruit 60%">
      <a:srgbClr val="FF8D80"/>
    </a:custClr>
    <a:custClr name="Plum 60%">
      <a:srgbClr val="C57FFF"/>
    </a:custClr>
    <a:custClr name="Blueberry 60%">
      <a:srgbClr val="6ACAF5"/>
    </a:custClr>
    <a:custClr name="Avocado 60%">
      <a:srgbClr val="83DFCB"/>
    </a:custClr>
    <a:custClr name="Stone gray 4">
      <a:srgbClr val="99A4B7"/>
    </a:custClr>
    <a:custClr name="Pomegranate 60%">
      <a:srgbClr val="FF7BB3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Grapefruit 80%">
      <a:srgbClr val="FF6756"/>
    </a:custClr>
    <a:custClr name="Plum 80%">
      <a:srgbClr val="B254FF"/>
    </a:custClr>
    <a:custClr name="Blueberry 80%">
      <a:srgbClr val="38B8F1"/>
    </a:custClr>
    <a:custClr name="Avocado 80%">
      <a:srgbClr val="5AD5B9"/>
    </a:custClr>
    <a:custClr name="Stone gray 5">
      <a:srgbClr val="B3BBC9"/>
    </a:custClr>
    <a:custClr name="Pomegranate 80%">
      <a:srgbClr val="FF4F99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Grapefruit dark 1">
      <a:srgbClr val="E8281E"/>
    </a:custClr>
    <a:custClr name="Plum dark 1">
      <a:srgbClr val="8001D8"/>
    </a:custClr>
    <a:custClr name="Blueberry dark 1">
      <a:srgbClr val="006BDB"/>
    </a:custClr>
    <a:custClr name="Avocado dark 1">
      <a:srgbClr val="149678"/>
    </a:custClr>
    <a:custClr>
      <a:srgbClr val="FFFFFF"/>
    </a:custClr>
    <a:custClr name="Pomegranate dark 1">
      <a:srgbClr val="CD0E28"/>
    </a:custClr>
    <a:custClr name="Color has no name">
      <a:srgbClr val="FFFFFF"/>
    </a:custClr>
    <a:custClr name="Color has no name">
      <a:srgbClr val="FFFFFF"/>
    </a:custClr>
    <a:custClr>
      <a:srgbClr val="FFFFFF"/>
    </a:custClr>
    <a:custClr>
      <a:srgbClr val="FFFFFF"/>
    </a:custClr>
    <a:custClr name="Grapefruit dark 2">
      <a:srgbClr val="C20800"/>
    </a:custClr>
    <a:custClr name="Plum dark 2">
      <a:srgbClr val="6600AB"/>
    </a:custClr>
    <a:custClr name="Blueberry dark 2">
      <a:srgbClr val="003CAB"/>
    </a:custClr>
    <a:custClr name="Avocado dark 2">
      <a:srgbClr val="006B46"/>
    </a:custClr>
    <a:custClr>
      <a:srgbClr val="FFFFFF"/>
    </a:custClr>
    <a:custClr name="Pomegranate dark 2">
      <a:srgbClr val="A50115"/>
    </a:custClr>
  </a:custClrLst>
  <a:extLst>
    <a:ext uri="{05A4C25C-085E-4340-85A3-A5531E510DB2}">
      <thm15:themeFamily xmlns:thm15="http://schemas.microsoft.com/office/thememl/2012/main" name="YouGov_theme" id="{AA058BA2-676E-44C2-82BB-E2720464CACD}" vid="{9D22685B-EAAB-4264-8432-894960E23D83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E676-D1AA-4A73-8A53-EF7C28576223}">
  <dimension ref="A1:V1048576"/>
  <sheetViews>
    <sheetView tabSelected="1" workbookViewId="0">
      <selection activeCell="K19" sqref="K19"/>
    </sheetView>
  </sheetViews>
  <sheetFormatPr defaultColWidth="11.375" defaultRowHeight="12.75" x14ac:dyDescent="0.2"/>
  <cols>
    <col min="1" max="1" width="14.375" style="2" customWidth="1"/>
    <col min="2" max="2" width="40.75" style="2" customWidth="1"/>
    <col min="3" max="3" width="11.375" style="3"/>
    <col min="4" max="4" width="11.375" style="4"/>
    <col min="5" max="10" width="11.375" style="2"/>
    <col min="11" max="11" width="15.25" style="2" customWidth="1"/>
    <col min="12" max="14" width="11.375" style="2"/>
    <col min="15" max="15" width="7.625" style="2" customWidth="1"/>
    <col min="16" max="16" width="11.375" style="2"/>
    <col min="17" max="17" width="8" style="2" customWidth="1"/>
    <col min="18" max="18" width="11.375" style="2"/>
    <col min="19" max="19" width="7.125" style="2" customWidth="1"/>
    <col min="20" max="20" width="11.375" style="2"/>
    <col min="21" max="21" width="7" style="2" customWidth="1"/>
    <col min="22" max="16384" width="11.375" style="2"/>
  </cols>
  <sheetData>
    <row r="1" spans="1:22" x14ac:dyDescent="0.2">
      <c r="A1" s="1" t="s">
        <v>0</v>
      </c>
      <c r="B1" s="22" t="s">
        <v>26</v>
      </c>
    </row>
    <row r="2" spans="1:22" x14ac:dyDescent="0.2">
      <c r="A2" s="2" t="s">
        <v>1</v>
      </c>
      <c r="B2" s="22" t="s">
        <v>2</v>
      </c>
    </row>
    <row r="3" spans="1:22" x14ac:dyDescent="0.2">
      <c r="O3" s="2" t="s">
        <v>3</v>
      </c>
    </row>
    <row r="4" spans="1:22" x14ac:dyDescent="0.2">
      <c r="A4" s="2" t="s">
        <v>4</v>
      </c>
      <c r="B4" s="2" t="s">
        <v>5</v>
      </c>
      <c r="C4" s="3" t="s">
        <v>6</v>
      </c>
      <c r="D4" s="4" t="s">
        <v>7</v>
      </c>
      <c r="E4" s="5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K4" s="2" t="s">
        <v>13</v>
      </c>
      <c r="L4" s="6" t="s">
        <v>14</v>
      </c>
      <c r="M4" s="6" t="s">
        <v>15</v>
      </c>
      <c r="O4" s="2" t="s">
        <v>16</v>
      </c>
      <c r="P4" s="2">
        <v>1</v>
      </c>
      <c r="Q4" s="2" t="s">
        <v>17</v>
      </c>
      <c r="R4" s="2">
        <v>2</v>
      </c>
      <c r="S4" s="2" t="s">
        <v>18</v>
      </c>
      <c r="T4" s="2">
        <v>4</v>
      </c>
      <c r="U4" s="2" t="s">
        <v>19</v>
      </c>
      <c r="V4" s="2">
        <v>3</v>
      </c>
    </row>
    <row r="5" spans="1:22" x14ac:dyDescent="0.2">
      <c r="A5" s="22"/>
      <c r="B5" s="22"/>
      <c r="C5" s="23"/>
      <c r="D5" s="24"/>
      <c r="E5" s="7" t="str">
        <f>IF(AND(C5="",D5=""),"",IF(AND(C5&gt;$L$8,D5&gt;$M$8),2,IF(AND(C5&gt;$L$8,D5&lt;=$M$8),4,IF(AND(C5&lt;=$L$8,D5&lt;=$M$8),3,1))))</f>
        <v/>
      </c>
      <c r="F5" s="7" t="e">
        <f>IF($E5=1,$D5,#N/A)</f>
        <v>#N/A</v>
      </c>
      <c r="G5" s="7" t="e">
        <f>IF($E5=2,$D5,#N/A)</f>
        <v>#N/A</v>
      </c>
      <c r="H5" s="7" t="e">
        <f>IF($E5=3,$D5,#N/A)</f>
        <v>#N/A</v>
      </c>
      <c r="I5" s="7" t="e">
        <f>IF($E5=4,$D5,#N/A)</f>
        <v>#N/A</v>
      </c>
      <c r="J5" s="7"/>
      <c r="K5" s="2" t="s">
        <v>20</v>
      </c>
      <c r="L5" s="8">
        <f>MAX(C5:C35)</f>
        <v>0</v>
      </c>
      <c r="M5" s="8">
        <f>MAX(D5:D35)</f>
        <v>0</v>
      </c>
      <c r="O5" s="9" t="str">
        <f t="array" ref="O5">IF(ISERROR(INDEX($A$5:$A$35,SMALL(IF($E$5:$E$35=P$4,ROW($E$5:$E$35)-4,""),ROW(1:1)),1)),"",INDEX($A$5:$A$35,SMALL(IF($E$5:$E$35=P$4,ROW($E$5:$E$35)-4,""),ROW(1:1)),1))</f>
        <v/>
      </c>
      <c r="P5" s="10" t="str">
        <f t="array" ref="P5">IF(ISERROR(INDEX($B$5:$B$35,SMALL(IF($E$5:$E$35=P$4,ROW($E$5:$E$35)-4,""),ROW(1:1)),1)),"",INDEX($B$5:$B$35,SMALL(IF($E$5:$E$35=P$4,ROW($E$5:$E$35)-4,""),ROW(1:1)),1))</f>
        <v/>
      </c>
      <c r="Q5" s="9" t="str">
        <f t="array" ref="Q5">IF(ISERROR(INDEX($A$5:$A$35,SMALL(IF($E$5:$E$35=R$4,ROW($E$5:$E$35)-4,""),ROW(1:1)),1)),"",INDEX($A$5:$A$35,SMALL(IF($E$5:$E$35=R$4,ROW($E$5:$E$35)-4,""),ROW(1:1)),1))</f>
        <v/>
      </c>
      <c r="R5" s="10" t="str">
        <f t="array" ref="R5">IF(ISERROR(INDEX($B$5:$B$35,SMALL(IF($E$5:$E$35=R$4,ROW($E$5:$E$35)-4,""),ROW(1:1)),1)),"",INDEX($B$5:$B$35,SMALL(IF($E$5:$E$35=R$4,ROW($E$5:$E$35)-4,""),ROW(1:1)),1))</f>
        <v/>
      </c>
      <c r="S5" s="9" t="str">
        <f t="array" ref="S5">IF(ISERROR(INDEX($A$5:$A$35,SMALL(IF($E$5:$E$35=T$4,ROW($E$5:$E$35)-4,""),ROW(1:1)),1)),"",INDEX($A$5:$A$35,SMALL(IF($E$5:$E$35=T$4,ROW($E$5:$E$35)-4,""),ROW(1:1)),1))</f>
        <v/>
      </c>
      <c r="T5" s="10" t="str">
        <f t="array" ref="T5">IF(ISERROR(INDEX($B$5:$B$35,SMALL(IF($E$5:$E$35=T$4,ROW($E$5:$E$35)-4,""),ROW(1:1)),1)),"",INDEX($B$5:$B$35,SMALL(IF($E$5:$E$35=T$4,ROW($E$5:$E$35)-4,""),ROW(1:1)),1))</f>
        <v/>
      </c>
      <c r="U5" s="9" t="str">
        <f t="array" ref="U5">IF(ISERROR(INDEX($A$5:$A$35,SMALL(IF($E$5:$E$35=V$4,ROW($E$5:$E$35)-4,""),ROW(1:1)),1)),"",INDEX($A$5:$A$35,SMALL(IF($E$5:$E$35=V$4,ROW($E$5:$E$35)-4,""),ROW(1:1)),1))</f>
        <v/>
      </c>
      <c r="V5" s="10" t="str">
        <f t="array" ref="V5">IF(ISERROR(INDEX($B$5:$B$35,SMALL(IF($E$5:$E$35=V$4,ROW($E$5:$E$35)-4,""),ROW(1:1)),1)),"",INDEX($B$5:$B$35,SMALL(IF($E$5:$E$35=V$4,ROW($E$5:$E$35)-4,""),ROW(1:1)),1))</f>
        <v/>
      </c>
    </row>
    <row r="6" spans="1:22" x14ac:dyDescent="0.2">
      <c r="A6" s="22"/>
      <c r="B6" s="22"/>
      <c r="C6" s="25"/>
      <c r="D6" s="24"/>
      <c r="E6" s="7" t="str">
        <f t="shared" ref="E6:E19" si="0">IF(AND(C6="",D6=""),"",IF(AND(C6&gt;$L$8,D6&gt;$M$8),2,IF(AND(C6&gt;$L$8,D6&lt;=$M$8),4,IF(AND(C6&lt;=$L$8,D6&lt;=$M$8),3,1))))</f>
        <v/>
      </c>
      <c r="F6" s="7" t="e">
        <f t="shared" ref="F6:F35" si="1">IF($E6=1,$D6,#N/A)</f>
        <v>#N/A</v>
      </c>
      <c r="G6" s="7" t="e">
        <f t="shared" ref="G6:G35" si="2">IF($E6=2,$D6,#N/A)</f>
        <v>#N/A</v>
      </c>
      <c r="H6" s="7" t="e">
        <f t="shared" ref="H6:H35" si="3">IF($E6=3,$D6,#N/A)</f>
        <v>#N/A</v>
      </c>
      <c r="I6" s="7" t="e">
        <f t="shared" ref="I6:I35" si="4">IF($E6=4,$D6,#N/A)</f>
        <v>#N/A</v>
      </c>
      <c r="J6" s="7"/>
      <c r="K6" s="2" t="s">
        <v>21</v>
      </c>
      <c r="L6" s="8">
        <f>MIN(C5:C35)</f>
        <v>0</v>
      </c>
      <c r="M6" s="8">
        <f>MIN(D5:D35)</f>
        <v>0</v>
      </c>
      <c r="O6" s="11" t="str">
        <f t="array" ref="O6">IF(ISERROR(INDEX($A$5:$A$35,SMALL(IF($E$5:$E$35=P$4,ROW($E$5:$E$35)-4,""),ROW(2:2)),1)),"",INDEX($A$5:$A$35,SMALL(IF($E$5:$E$35=P$4,ROW($E$5:$E$35)-4,""),ROW(2:2)),1))</f>
        <v/>
      </c>
      <c r="P6" s="12" t="str">
        <f t="array" ref="P6">IF(ISERROR(INDEX($B$5:$B$35,SMALL(IF($E$5:$E$35=P$4,ROW($E$5:$E$35)-4,""),ROW(2:2)),1)),"",INDEX($B$5:$B$35,SMALL(IF($E$5:$E$35=P$4,ROW($E$5:$E$35)-4,""),ROW(2:2)),1))</f>
        <v/>
      </c>
      <c r="Q6" s="11" t="str">
        <f t="array" ref="Q6">IF(ISERROR(INDEX($A$5:$A$35,SMALL(IF($E$5:$E$35=R$4,ROW($E$5:$E$35)-4,""),ROW(2:2)),1)),"",INDEX($A$5:$A$35,SMALL(IF($E$5:$E$35=R$4,ROW($E$5:$E$35)-4,""),ROW(2:2)),1))</f>
        <v/>
      </c>
      <c r="R6" s="12" t="str">
        <f t="array" ref="R6">IF(ISERROR(INDEX($B$5:$B$35,SMALL(IF($E$5:$E$35=R$4,ROW($E$5:$E$35)-4,""),ROW(2:2)),1)),"",INDEX($B$5:$B$35,SMALL(IF($E$5:$E$35=R$4,ROW($E$5:$E$35)-4,""),ROW(2:2)),1))</f>
        <v/>
      </c>
      <c r="S6" s="11" t="str">
        <f t="array" ref="S6">IF(ISERROR(INDEX($A$5:$A$35,SMALL(IF($E$5:$E$35=T$4,ROW($E$5:$E$35)-4,""),ROW(2:2)),1)),"",INDEX($A$5:$A$35,SMALL(IF($E$5:$E$35=T$4,ROW($E$5:$E$35)-4,""),ROW(2:2)),1))</f>
        <v/>
      </c>
      <c r="T6" s="12" t="str">
        <f t="array" ref="T6">IF(ISERROR(INDEX($B$5:$B$35,SMALL(IF($E$5:$E$35=T$4,ROW($E$5:$E$35)-4,""),ROW(2:2)),1)),"",INDEX($B$5:$B$35,SMALL(IF($E$5:$E$35=T$4,ROW($E$5:$E$35)-4,""),ROW(2:2)),1))</f>
        <v/>
      </c>
      <c r="U6" s="11" t="str">
        <f t="array" ref="U6">IF(ISERROR(INDEX($A$5:$A$35,SMALL(IF($E$5:$E$35=V$4,ROW($E$5:$E$35)-4,""),ROW(2:2)),1)),"",INDEX($A$5:$A$35,SMALL(IF($E$5:$E$35=V$4,ROW($E$5:$E$35)-4,""),ROW(2:2)),1))</f>
        <v/>
      </c>
      <c r="V6" s="12" t="str">
        <f t="array" ref="V6">IF(ISERROR(INDEX($B$5:$B$35,SMALL(IF($E$5:$E$35=V$4,ROW($E$5:$E$35)-4,""),ROW(2:2)),1)),"",INDEX($B$5:$B$35,SMALL(IF($E$5:$E$35=V$4,ROW($E$5:$E$35)-4,""),ROW(2:2)),1))</f>
        <v/>
      </c>
    </row>
    <row r="7" spans="1:22" x14ac:dyDescent="0.2">
      <c r="A7" s="22"/>
      <c r="B7" s="22"/>
      <c r="C7" s="25"/>
      <c r="D7" s="24"/>
      <c r="E7" s="7" t="str">
        <f t="shared" si="0"/>
        <v/>
      </c>
      <c r="F7" s="7" t="e">
        <f t="shared" si="1"/>
        <v>#N/A</v>
      </c>
      <c r="G7" s="7" t="e">
        <f t="shared" si="2"/>
        <v>#N/A</v>
      </c>
      <c r="H7" s="7" t="e">
        <f t="shared" si="3"/>
        <v>#N/A</v>
      </c>
      <c r="I7" s="7" t="e">
        <f t="shared" si="4"/>
        <v>#N/A</v>
      </c>
      <c r="J7" s="7"/>
      <c r="K7" s="2" t="s">
        <v>22</v>
      </c>
      <c r="L7" s="6">
        <v>0.01</v>
      </c>
      <c r="M7" s="6">
        <v>0.01</v>
      </c>
      <c r="O7" s="11" t="str">
        <f t="array" ref="O7">IF(ISERROR(INDEX($A$5:$A$35,SMALL(IF($E$5:$E$35=P$4,ROW($E$5:$E$35)-4,""),ROW(3:3)),1)),"",INDEX($A$5:$A$35,SMALL(IF($E$5:$E$35=P$4,ROW($E$5:$E$35)-4,""),ROW(3:3)),1))</f>
        <v/>
      </c>
      <c r="P7" s="12" t="str">
        <f t="array" ref="P7">IF(ISERROR(INDEX($B$5:$B$35,SMALL(IF($E$5:$E$35=P$4,ROW($E$5:$E$35)-4,""),ROW(3:3)),1)),"",INDEX($B$5:$B$35,SMALL(IF($E$5:$E$35=P$4,ROW($E$5:$E$35)-4,""),ROW(3:3)),1))</f>
        <v/>
      </c>
      <c r="Q7" s="11" t="str">
        <f t="array" ref="Q7">IF(ISERROR(INDEX($A$5:$A$35,SMALL(IF($E$5:$E$35=R$4,ROW($E$5:$E$35)-4,""),ROW(3:3)),1)),"",INDEX($A$5:$A$35,SMALL(IF($E$5:$E$35=R$4,ROW($E$5:$E$35)-4,""),ROW(3:3)),1))</f>
        <v/>
      </c>
      <c r="R7" s="12" t="str">
        <f t="array" ref="R7">IF(ISERROR(INDEX($B$5:$B$35,SMALL(IF($E$5:$E$35=R$4,ROW($E$5:$E$35)-4,""),ROW(3:3)),1)),"",INDEX($B$5:$B$35,SMALL(IF($E$5:$E$35=R$4,ROW($E$5:$E$35)-4,""),ROW(3:3)),1))</f>
        <v/>
      </c>
      <c r="S7" s="11" t="str">
        <f t="array" ref="S7">IF(ISERROR(INDEX($A$5:$A$35,SMALL(IF($E$5:$E$35=T$4,ROW($E$5:$E$35)-4,""),ROW(3:3)),1)),"",INDEX($A$5:$A$35,SMALL(IF($E$5:$E$35=T$4,ROW($E$5:$E$35)-4,""),ROW(3:3)),1))</f>
        <v/>
      </c>
      <c r="T7" s="12" t="str">
        <f t="array" ref="T7">IF(ISERROR(INDEX($B$5:$B$35,SMALL(IF($E$5:$E$35=T$4,ROW($E$5:$E$35)-4,""),ROW(3:3)),1)),"",INDEX($B$5:$B$35,SMALL(IF($E$5:$E$35=T$4,ROW($E$5:$E$35)-4,""),ROW(3:3)),1))</f>
        <v/>
      </c>
      <c r="U7" s="11" t="str">
        <f t="array" ref="U7">IF(ISERROR(INDEX($A$5:$A$35,SMALL(IF($E$5:$E$35=V$4,ROW($E$5:$E$35)-4,""),ROW(3:3)),1)),"",INDEX($A$5:$A$35,SMALL(IF($E$5:$E$35=V$4,ROW($E$5:$E$35)-4,""),ROW(3:3)),1))</f>
        <v/>
      </c>
      <c r="V7" s="12" t="str">
        <f t="array" ref="V7">IF(ISERROR(INDEX($B$5:$B$35,SMALL(IF($E$5:$E$35=V$4,ROW($E$5:$E$35)-4,""),ROW(3:3)),1)),"",INDEX($B$5:$B$35,SMALL(IF($E$5:$E$35=V$4,ROW($E$5:$E$35)-4,""),ROW(3:3)),1))</f>
        <v/>
      </c>
    </row>
    <row r="8" spans="1:22" x14ac:dyDescent="0.2">
      <c r="A8" s="22"/>
      <c r="B8" s="22"/>
      <c r="C8" s="25"/>
      <c r="D8" s="24"/>
      <c r="E8" s="7" t="str">
        <f t="shared" si="0"/>
        <v/>
      </c>
      <c r="F8" s="7" t="e">
        <f t="shared" si="1"/>
        <v>#N/A</v>
      </c>
      <c r="G8" s="7" t="e">
        <f t="shared" si="2"/>
        <v>#N/A</v>
      </c>
      <c r="H8" s="7" t="e">
        <f t="shared" si="3"/>
        <v>#N/A</v>
      </c>
      <c r="I8" s="7" t="e">
        <f t="shared" si="4"/>
        <v>#N/A</v>
      </c>
      <c r="J8" s="7"/>
      <c r="K8" s="13" t="s">
        <v>23</v>
      </c>
      <c r="L8" s="14" t="e">
        <f>IF(B2="Mittelwert",AVERAGE(C5:C32),MEDIAN(C5:C32))</f>
        <v>#DIV/0!</v>
      </c>
      <c r="M8" s="15" t="e">
        <f>IF(B2="Mittelwert",AVERAGE(D5:D35),MEDIAN(D5:D35))</f>
        <v>#DIV/0!</v>
      </c>
      <c r="O8" s="11" t="str">
        <f t="array" ref="O8">IF(ISERROR(INDEX($A$5:$A$35,SMALL(IF($E$5:$E$35=P$4,ROW($E$5:$E$35)-4,""),ROW(4:4)),1)),"",INDEX($A$5:$A$35,SMALL(IF($E$5:$E$35=P$4,ROW($E$5:$E$35)-4,""),ROW(4:4)),1))</f>
        <v/>
      </c>
      <c r="P8" s="12" t="str">
        <f t="array" ref="P8">IF(ISERROR(INDEX($B$5:$B$35,SMALL(IF($E$5:$E$35=P$4,ROW($E$5:$E$35)-4,""),ROW(4:4)),1)),"",INDEX($B$5:$B$35,SMALL(IF($E$5:$E$35=P$4,ROW($E$5:$E$35)-4,""),ROW(4:4)),1))</f>
        <v/>
      </c>
      <c r="Q8" s="11" t="str">
        <f t="array" ref="Q8">IF(ISERROR(INDEX($A$5:$A$35,SMALL(IF($E$5:$E$35=R$4,ROW($E$5:$E$35)-4,""),ROW(4:4)),1)),"",INDEX($A$5:$A$35,SMALL(IF($E$5:$E$35=R$4,ROW($E$5:$E$35)-4,""),ROW(4:4)),1))</f>
        <v/>
      </c>
      <c r="R8" s="12" t="str">
        <f t="array" ref="R8">IF(ISERROR(INDEX($B$5:$B$35,SMALL(IF($E$5:$E$35=R$4,ROW($E$5:$E$35)-4,""),ROW(4:4)),1)),"",INDEX($B$5:$B$35,SMALL(IF($E$5:$E$35=R$4,ROW($E$5:$E$35)-4,""),ROW(4:4)),1))</f>
        <v/>
      </c>
      <c r="S8" s="11" t="str">
        <f t="array" ref="S8">IF(ISERROR(INDEX($A$5:$A$35,SMALL(IF($E$5:$E$35=T$4,ROW($E$5:$E$35)-4,""),ROW(4:4)),1)),"",INDEX($A$5:$A$35,SMALL(IF($E$5:$E$35=T$4,ROW($E$5:$E$35)-4,""),ROW(4:4)),1))</f>
        <v/>
      </c>
      <c r="T8" s="12" t="str">
        <f t="array" ref="T8">IF(ISERROR(INDEX($B$5:$B$35,SMALL(IF($E$5:$E$35=T$4,ROW($E$5:$E$35)-4,""),ROW(4:4)),1)),"",INDEX($B$5:$B$35,SMALL(IF($E$5:$E$35=T$4,ROW($E$5:$E$35)-4,""),ROW(4:4)),1))</f>
        <v/>
      </c>
      <c r="U8" s="11" t="str">
        <f t="array" ref="U8">IF(ISERROR(INDEX($A$5:$A$35,SMALL(IF($E$5:$E$35=V$4,ROW($E$5:$E$35)-4,""),ROW(4:4)),1)),"",INDEX($A$5:$A$35,SMALL(IF($E$5:$E$35=V$4,ROW($E$5:$E$35)-4,""),ROW(4:4)),1))</f>
        <v/>
      </c>
      <c r="V8" s="12" t="str">
        <f t="array" ref="V8">IF(ISERROR(INDEX($B$5:$B$35,SMALL(IF($E$5:$E$35=V$4,ROW($E$5:$E$35)-4,""),ROW(4:4)),1)),"",INDEX($B$5:$B$35,SMALL(IF($E$5:$E$35=V$4,ROW($E$5:$E$35)-4,""),ROW(4:4)),1))</f>
        <v/>
      </c>
    </row>
    <row r="9" spans="1:22" x14ac:dyDescent="0.2">
      <c r="A9" s="22"/>
      <c r="B9" s="22"/>
      <c r="C9" s="25"/>
      <c r="D9" s="24"/>
      <c r="E9" s="7" t="str">
        <f t="shared" si="0"/>
        <v/>
      </c>
      <c r="F9" s="7" t="e">
        <f t="shared" si="1"/>
        <v>#N/A</v>
      </c>
      <c r="G9" s="7" t="e">
        <f t="shared" si="2"/>
        <v>#N/A</v>
      </c>
      <c r="H9" s="7" t="e">
        <f t="shared" si="3"/>
        <v>#N/A</v>
      </c>
      <c r="I9" s="7" t="e">
        <f t="shared" si="4"/>
        <v>#N/A</v>
      </c>
      <c r="J9" s="7"/>
      <c r="K9" s="16" t="s">
        <v>24</v>
      </c>
      <c r="L9" s="30">
        <f>ROUND(L5+L7,4)</f>
        <v>0.01</v>
      </c>
      <c r="M9" s="31">
        <f>ROUND(M5+M7,4)</f>
        <v>0.01</v>
      </c>
      <c r="O9" s="11" t="str">
        <f t="array" ref="O9">IF(ISERROR(INDEX($A$5:$A$35,SMALL(IF($E$5:$E$35=P$4,ROW($E$5:$E$35)-4,""),ROW(5:5)),1)),"",INDEX($A$5:$A$35,SMALL(IF($E$5:$E$35=P$4,ROW($E$5:$E$35)-4,""),ROW(5:5)),1))</f>
        <v/>
      </c>
      <c r="P9" s="12" t="str">
        <f t="array" ref="P9">IF(ISERROR(INDEX($B$5:$B$35,SMALL(IF($E$5:$E$35=P$4,ROW($E$5:$E$35)-4,""),ROW(5:5)),1)),"",INDEX($B$5:$B$35,SMALL(IF($E$5:$E$35=P$4,ROW($E$5:$E$35)-4,""),ROW(5:5)),1))</f>
        <v/>
      </c>
      <c r="Q9" s="11" t="str">
        <f t="array" ref="Q9">IF(ISERROR(INDEX($A$5:$A$35,SMALL(IF($E$5:$E$35=R$4,ROW($E$5:$E$35)-4,""),ROW(5:5)),1)),"",INDEX($A$5:$A$35,SMALL(IF($E$5:$E$35=R$4,ROW($E$5:$E$35)-4,""),ROW(5:5)),1))</f>
        <v/>
      </c>
      <c r="R9" s="12" t="str">
        <f t="array" ref="R9">IF(ISERROR(INDEX($B$5:$B$35,SMALL(IF($E$5:$E$35=R$4,ROW($E$5:$E$35)-4,""),ROW(5:5)),1)),"",INDEX($B$5:$B$35,SMALL(IF($E$5:$E$35=R$4,ROW($E$5:$E$35)-4,""),ROW(5:5)),1))</f>
        <v/>
      </c>
      <c r="S9" s="11" t="str">
        <f t="array" ref="S9">IF(ISERROR(INDEX($A$5:$A$35,SMALL(IF($E$5:$E$35=T$4,ROW($E$5:$E$35)-4,""),ROW(5:5)),1)),"",INDEX($A$5:$A$35,SMALL(IF($E$5:$E$35=T$4,ROW($E$5:$E$35)-4,""),ROW(5:5)),1))</f>
        <v/>
      </c>
      <c r="T9" s="12" t="str">
        <f t="array" ref="T9">IF(ISERROR(INDEX($B$5:$B$35,SMALL(IF($E$5:$E$35=T$4,ROW($E$5:$E$35)-4,""),ROW(5:5)),1)),"",INDEX($B$5:$B$35,SMALL(IF($E$5:$E$35=T$4,ROW($E$5:$E$35)-4,""),ROW(5:5)),1))</f>
        <v/>
      </c>
      <c r="U9" s="11" t="str">
        <f t="array" ref="U9">IF(ISERROR(INDEX($A$5:$A$35,SMALL(IF($E$5:$E$35=V$4,ROW($E$5:$E$35)-4,""),ROW(5:5)),1)),"",INDEX($A$5:$A$35,SMALL(IF($E$5:$E$35=V$4,ROW($E$5:$E$35)-4,""),ROW(5:5)),1))</f>
        <v/>
      </c>
      <c r="V9" s="12" t="str">
        <f t="array" ref="V9">IF(ISERROR(INDEX($B$5:$B$35,SMALL(IF($E$5:$E$35=V$4,ROW($E$5:$E$35)-4,""),ROW(5:5)),1)),"",INDEX($B$5:$B$35,SMALL(IF($E$5:$E$35=V$4,ROW($E$5:$E$35)-4,""),ROW(5:5)),1))</f>
        <v/>
      </c>
    </row>
    <row r="10" spans="1:22" x14ac:dyDescent="0.2">
      <c r="A10" s="22"/>
      <c r="B10" s="22"/>
      <c r="C10" s="23"/>
      <c r="D10" s="24"/>
      <c r="E10" s="7" t="str">
        <f t="shared" si="0"/>
        <v/>
      </c>
      <c r="F10" s="7" t="e">
        <f t="shared" si="1"/>
        <v>#N/A</v>
      </c>
      <c r="G10" s="7" t="e">
        <f t="shared" si="2"/>
        <v>#N/A</v>
      </c>
      <c r="H10" s="7" t="e">
        <f t="shared" si="3"/>
        <v>#N/A</v>
      </c>
      <c r="I10" s="7" t="e">
        <f t="shared" si="4"/>
        <v>#N/A</v>
      </c>
      <c r="J10" s="7"/>
      <c r="K10" s="17" t="s">
        <v>25</v>
      </c>
      <c r="L10" s="32">
        <f>ROUND(L6-L7,4)</f>
        <v>-0.01</v>
      </c>
      <c r="M10" s="33">
        <f>ROUND(M6-M7,4)</f>
        <v>-0.01</v>
      </c>
      <c r="O10" s="11" t="str">
        <f t="array" ref="O10">IF(ISERROR(INDEX($A$5:$A$35,SMALL(IF($E$5:$E$35=P$4,ROW($E$5:$E$35)-4,""),ROW(6:6)),1)),"",INDEX($A$5:$A$35,SMALL(IF($E$5:$E$35=P$4,ROW($E$5:$E$35)-4,""),ROW(6:6)),1))</f>
        <v/>
      </c>
      <c r="P10" s="12" t="str">
        <f t="array" ref="P10">IF(ISERROR(INDEX($B$5:$B$35,SMALL(IF($E$5:$E$35=P$4,ROW($E$5:$E$35)-4,""),ROW(6:6)),1)),"",INDEX($B$5:$B$35,SMALL(IF($E$5:$E$35=P$4,ROW($E$5:$E$35)-4,""),ROW(6:6)),1))</f>
        <v/>
      </c>
      <c r="Q10" s="11" t="str">
        <f t="array" ref="Q10">IF(ISERROR(INDEX($A$5:$A$35,SMALL(IF($E$5:$E$35=R$4,ROW($E$5:$E$35)-4,""),ROW(6:6)),1)),"",INDEX($A$5:$A$35,SMALL(IF($E$5:$E$35=R$4,ROW($E$5:$E$35)-4,""),ROW(6:6)),1))</f>
        <v/>
      </c>
      <c r="R10" s="12" t="str">
        <f t="array" ref="R10">IF(ISERROR(INDEX($B$5:$B$35,SMALL(IF($E$5:$E$35=R$4,ROW($E$5:$E$35)-4,""),ROW(6:6)),1)),"",INDEX($B$5:$B$35,SMALL(IF($E$5:$E$35=R$4,ROW($E$5:$E$35)-4,""),ROW(6:6)),1))</f>
        <v/>
      </c>
      <c r="S10" s="11" t="str">
        <f t="array" ref="S10">IF(ISERROR(INDEX($A$5:$A$35,SMALL(IF($E$5:$E$35=T$4,ROW($E$5:$E$35)-4,""),ROW(6:6)),1)),"",INDEX($A$5:$A$35,SMALL(IF($E$5:$E$35=T$4,ROW($E$5:$E$35)-4,""),ROW(6:6)),1))</f>
        <v/>
      </c>
      <c r="T10" s="12" t="str">
        <f t="array" ref="T10">IF(ISERROR(INDEX($B$5:$B$35,SMALL(IF($E$5:$E$35=T$4,ROW($E$5:$E$35)-4,""),ROW(6:6)),1)),"",INDEX($B$5:$B$35,SMALL(IF($E$5:$E$35=T$4,ROW($E$5:$E$35)-4,""),ROW(6:6)),1))</f>
        <v/>
      </c>
      <c r="U10" s="11" t="str">
        <f t="array" ref="U10">IF(ISERROR(INDEX($A$5:$A$35,SMALL(IF($E$5:$E$35=V$4,ROW($E$5:$E$35)-4,""),ROW(6:6)),1)),"",INDEX($A$5:$A$35,SMALL(IF($E$5:$E$35=V$4,ROW($E$5:$E$35)-4,""),ROW(6:6)),1))</f>
        <v/>
      </c>
      <c r="V10" s="12" t="str">
        <f t="array" ref="V10">IF(ISERROR(INDEX($B$5:$B$35,SMALL(IF($E$5:$E$35=V$4,ROW($E$5:$E$35)-4,""),ROW(6:6)),1)),"",INDEX($B$5:$B$35,SMALL(IF($E$5:$E$35=V$4,ROW($E$5:$E$35)-4,""),ROW(6:6)),1))</f>
        <v/>
      </c>
    </row>
    <row r="11" spans="1:22" x14ac:dyDescent="0.2">
      <c r="A11" s="22"/>
      <c r="B11" s="22"/>
      <c r="C11" s="23"/>
      <c r="D11" s="24"/>
      <c r="E11" s="7" t="str">
        <f t="shared" si="0"/>
        <v/>
      </c>
      <c r="F11" s="7" t="e">
        <f t="shared" si="1"/>
        <v>#N/A</v>
      </c>
      <c r="G11" s="7" t="e">
        <f t="shared" si="2"/>
        <v>#N/A</v>
      </c>
      <c r="H11" s="7" t="e">
        <f t="shared" si="3"/>
        <v>#N/A</v>
      </c>
      <c r="I11" s="7" t="e">
        <f t="shared" si="4"/>
        <v>#N/A</v>
      </c>
      <c r="J11" s="7"/>
      <c r="M11" s="6"/>
      <c r="N11" s="3"/>
      <c r="O11" s="11" t="str">
        <f t="array" ref="O11">IF(ISERROR(INDEX($A$5:$A$35,SMALL(IF($E$5:$E$35=P$4,ROW($E$5:$E$35)-4,""),ROW(7:7)),1)),"",INDEX($A$5:$A$35,SMALL(IF($E$5:$E$35=P$4,ROW($E$5:$E$35)-4,""),ROW(7:7)),1))</f>
        <v/>
      </c>
      <c r="P11" s="12" t="str">
        <f t="array" ref="P11">IF(ISERROR(INDEX($B$5:$B$35,SMALL(IF($E$5:$E$35=P$4,ROW($E$5:$E$35)-4,""),ROW(7:7)),1)),"",INDEX($B$5:$B$35,SMALL(IF($E$5:$E$35=P$4,ROW($E$5:$E$35)-4,""),ROW(7:7)),1))</f>
        <v/>
      </c>
      <c r="Q11" s="11" t="str">
        <f t="array" ref="Q11">IF(ISERROR(INDEX($A$5:$A$35,SMALL(IF($E$5:$E$35=R$4,ROW($E$5:$E$35)-4,""),ROW(7:7)),1)),"",INDEX($A$5:$A$35,SMALL(IF($E$5:$E$35=R$4,ROW($E$5:$E$35)-4,""),ROW(7:7)),1))</f>
        <v/>
      </c>
      <c r="R11" s="12" t="str">
        <f t="array" ref="R11">IF(ISERROR(INDEX($B$5:$B$35,SMALL(IF($E$5:$E$35=R$4,ROW($E$5:$E$35)-4,""),ROW(7:7)),1)),"",INDEX($B$5:$B$35,SMALL(IF($E$5:$E$35=R$4,ROW($E$5:$E$35)-4,""),ROW(7:7)),1))</f>
        <v/>
      </c>
      <c r="S11" s="11" t="str">
        <f t="array" ref="S11">IF(ISERROR(INDEX($A$5:$A$35,SMALL(IF($E$5:$E$35=T$4,ROW($E$5:$E$35)-4,""),ROW(7:7)),1)),"",INDEX($A$5:$A$35,SMALL(IF($E$5:$E$35=T$4,ROW($E$5:$E$35)-4,""),ROW(7:7)),1))</f>
        <v/>
      </c>
      <c r="T11" s="12" t="str">
        <f t="array" ref="T11">IF(ISERROR(INDEX($B$5:$B$35,SMALL(IF($E$5:$E$35=T$4,ROW($E$5:$E$35)-4,""),ROW(7:7)),1)),"",INDEX($B$5:$B$35,SMALL(IF($E$5:$E$35=T$4,ROW($E$5:$E$35)-4,""),ROW(7:7)),1))</f>
        <v/>
      </c>
      <c r="U11" s="11" t="str">
        <f t="array" ref="U11">IF(ISERROR(INDEX($A$5:$A$35,SMALL(IF($E$5:$E$35=V$4,ROW($E$5:$E$35)-4,""),ROW(7:7)),1)),"",INDEX($A$5:$A$35,SMALL(IF($E$5:$E$35=V$4,ROW($E$5:$E$35)-4,""),ROW(7:7)),1))</f>
        <v/>
      </c>
      <c r="V11" s="12" t="str">
        <f t="array" ref="V11">IF(ISERROR(INDEX($B$5:$B$35,SMALL(IF($E$5:$E$35=V$4,ROW($E$5:$E$35)-4,""),ROW(7:7)),1)),"",INDEX($B$5:$B$35,SMALL(IF($E$5:$E$35=V$4,ROW($E$5:$E$35)-4,""),ROW(7:7)),1))</f>
        <v/>
      </c>
    </row>
    <row r="12" spans="1:22" x14ac:dyDescent="0.2">
      <c r="A12" s="22"/>
      <c r="B12" s="22"/>
      <c r="C12" s="23"/>
      <c r="D12" s="24"/>
      <c r="E12" s="7" t="str">
        <f t="shared" si="0"/>
        <v/>
      </c>
      <c r="F12" s="7" t="e">
        <f t="shared" si="1"/>
        <v>#N/A</v>
      </c>
      <c r="G12" s="7" t="e">
        <f t="shared" si="2"/>
        <v>#N/A</v>
      </c>
      <c r="H12" s="7" t="e">
        <f t="shared" si="3"/>
        <v>#N/A</v>
      </c>
      <c r="I12" s="7" t="e">
        <f t="shared" si="4"/>
        <v>#N/A</v>
      </c>
      <c r="J12" s="7"/>
      <c r="L12" s="3"/>
      <c r="M12" s="3"/>
      <c r="O12" s="11" t="str">
        <f t="array" ref="O12">IF(ISERROR(INDEX($A$5:$A$35,SMALL(IF($E$5:$E$35=P$4,ROW($E$5:$E$35)-4,""),ROW(8:8)),1)),"",INDEX($A$5:$A$35,SMALL(IF($E$5:$E$35=P$4,ROW($E$5:$E$35)-4,""),ROW(8:8)),1))</f>
        <v/>
      </c>
      <c r="P12" s="12" t="str">
        <f t="array" ref="P12">IF(ISERROR(INDEX($B$5:$B$35,SMALL(IF($E$5:$E$35=P$4,ROW($E$5:$E$35)-4,""),ROW(8:8)),1)),"",INDEX($B$5:$B$35,SMALL(IF($E$5:$E$35=P$4,ROW($E$5:$E$35)-4,""),ROW(8:8)),1))</f>
        <v/>
      </c>
      <c r="Q12" s="11" t="str">
        <f t="array" ref="Q12">IF(ISERROR(INDEX($A$5:$A$35,SMALL(IF($E$5:$E$35=R$4,ROW($E$5:$E$35)-4,""),ROW(8:8)),1)),"",INDEX($A$5:$A$35,SMALL(IF($E$5:$E$35=R$4,ROW($E$5:$E$35)-4,""),ROW(8:8)),1))</f>
        <v/>
      </c>
      <c r="R12" s="12" t="str">
        <f t="array" ref="R12">IF(ISERROR(INDEX($B$5:$B$35,SMALL(IF($E$5:$E$35=R$4,ROW($E$5:$E$35)-4,""),ROW(8:8)),1)),"",INDEX($B$5:$B$35,SMALL(IF($E$5:$E$35=R$4,ROW($E$5:$E$35)-4,""),ROW(8:8)),1))</f>
        <v/>
      </c>
      <c r="S12" s="11" t="str">
        <f t="array" ref="S12">IF(ISERROR(INDEX($A$5:$A$35,SMALL(IF($E$5:$E$35=T$4,ROW($E$5:$E$35)-4,""),ROW(8:8)),1)),"",INDEX($A$5:$A$35,SMALL(IF($E$5:$E$35=T$4,ROW($E$5:$E$35)-4,""),ROW(8:8)),1))</f>
        <v/>
      </c>
      <c r="T12" s="12" t="str">
        <f t="array" ref="T12">IF(ISERROR(INDEX($B$5:$B$35,SMALL(IF($E$5:$E$35=T$4,ROW($E$5:$E$35)-4,""),ROW(8:8)),1)),"",INDEX($B$5:$B$35,SMALL(IF($E$5:$E$35=T$4,ROW($E$5:$E$35)-4,""),ROW(8:8)),1))</f>
        <v/>
      </c>
      <c r="U12" s="11" t="str">
        <f t="array" ref="U12">IF(ISERROR(INDEX($A$5:$A$35,SMALL(IF($E$5:$E$35=V$4,ROW($E$5:$E$35)-4,""),ROW(8:8)),1)),"",INDEX($A$5:$A$35,SMALL(IF($E$5:$E$35=V$4,ROW($E$5:$E$35)-4,""),ROW(8:8)),1))</f>
        <v/>
      </c>
      <c r="V12" s="12" t="str">
        <f t="array" ref="V12">IF(ISERROR(INDEX($B$5:$B$35,SMALL(IF($E$5:$E$35=V$4,ROW($E$5:$E$35)-4,""),ROW(8:8)),1)),"",INDEX($B$5:$B$35,SMALL(IF($E$5:$E$35=V$4,ROW($E$5:$E$35)-4,""),ROW(8:8)),1))</f>
        <v/>
      </c>
    </row>
    <row r="13" spans="1:22" x14ac:dyDescent="0.2">
      <c r="A13" s="22"/>
      <c r="B13" s="22"/>
      <c r="C13" s="23"/>
      <c r="D13" s="26"/>
      <c r="E13" s="7" t="str">
        <f t="shared" si="0"/>
        <v/>
      </c>
      <c r="F13" s="7" t="e">
        <f t="shared" si="1"/>
        <v>#N/A</v>
      </c>
      <c r="G13" s="7" t="e">
        <f t="shared" si="2"/>
        <v>#N/A</v>
      </c>
      <c r="H13" s="7" t="e">
        <f t="shared" si="3"/>
        <v>#N/A</v>
      </c>
      <c r="I13" s="7" t="e">
        <f t="shared" si="4"/>
        <v>#N/A</v>
      </c>
      <c r="J13" s="7"/>
      <c r="O13" s="11" t="str">
        <f t="array" ref="O13">IF(ISERROR(INDEX($A$5:$A$35,SMALL(IF($E$5:$E$35=P$4,ROW($E$5:$E$35)-4,""),ROW(9:9)),1)),"",INDEX($A$5:$A$35,SMALL(IF($E$5:$E$35=P$4,ROW($E$5:$E$35)-4,""),ROW(9:9)),1))</f>
        <v/>
      </c>
      <c r="P13" s="12" t="str">
        <f t="array" ref="P13">IF(ISERROR(INDEX($B$5:$B$35,SMALL(IF($E$5:$E$35=P$4,ROW($E$5:$E$35)-4,""),ROW(9:9)),1)),"",INDEX($B$5:$B$35,SMALL(IF($E$5:$E$35=P$4,ROW($E$5:$E$35)-4,""),ROW(9:9)),1))</f>
        <v/>
      </c>
      <c r="Q13" s="11" t="str">
        <f t="array" ref="Q13">IF(ISERROR(INDEX($A$5:$A$35,SMALL(IF($E$5:$E$35=R$4,ROW($E$5:$E$35)-4,""),ROW(9:9)),1)),"",INDEX($A$5:$A$35,SMALL(IF($E$5:$E$35=R$4,ROW($E$5:$E$35)-4,""),ROW(9:9)),1))</f>
        <v/>
      </c>
      <c r="R13" s="12" t="str">
        <f t="array" ref="R13">IF(ISERROR(INDEX($B$5:$B$35,SMALL(IF($E$5:$E$35=R$4,ROW($E$5:$E$35)-4,""),ROW(9:9)),1)),"",INDEX($B$5:$B$35,SMALL(IF($E$5:$E$35=R$4,ROW($E$5:$E$35)-4,""),ROW(9:9)),1))</f>
        <v/>
      </c>
      <c r="S13" s="11" t="str">
        <f t="array" ref="S13">IF(ISERROR(INDEX($A$5:$A$35,SMALL(IF($E$5:$E$35=T$4,ROW($E$5:$E$35)-4,""),ROW(9:9)),1)),"",INDEX($A$5:$A$35,SMALL(IF($E$5:$E$35=T$4,ROW($E$5:$E$35)-4,""),ROW(9:9)),1))</f>
        <v/>
      </c>
      <c r="T13" s="12" t="str">
        <f t="array" ref="T13">IF(ISERROR(INDEX($B$5:$B$35,SMALL(IF($E$5:$E$35=T$4,ROW($E$5:$E$35)-4,""),ROW(9:9)),1)),"",INDEX($B$5:$B$35,SMALL(IF($E$5:$E$35=T$4,ROW($E$5:$E$35)-4,""),ROW(9:9)),1))</f>
        <v/>
      </c>
      <c r="U13" s="11" t="str">
        <f t="array" ref="U13">IF(ISERROR(INDEX($A$5:$A$35,SMALL(IF($E$5:$E$35=V$4,ROW($E$5:$E$35)-4,""),ROW(9:9)),1)),"",INDEX($A$5:$A$35,SMALL(IF($E$5:$E$35=V$4,ROW($E$5:$E$35)-4,""),ROW(9:9)),1))</f>
        <v/>
      </c>
      <c r="V13" s="12" t="str">
        <f t="array" ref="V13">IF(ISERROR(INDEX($B$5:$B$35,SMALL(IF($E$5:$E$35=V$4,ROW($E$5:$E$35)-4,""),ROW(9:9)),1)),"",INDEX($B$5:$B$35,SMALL(IF($E$5:$E$35=V$4,ROW($E$5:$E$35)-4,""),ROW(9:9)),1))</f>
        <v/>
      </c>
    </row>
    <row r="14" spans="1:22" x14ac:dyDescent="0.2">
      <c r="A14" s="22"/>
      <c r="B14" s="22"/>
      <c r="C14" s="23"/>
      <c r="D14" s="26"/>
      <c r="E14" s="7" t="str">
        <f t="shared" si="0"/>
        <v/>
      </c>
      <c r="F14" s="7" t="e">
        <f t="shared" si="1"/>
        <v>#N/A</v>
      </c>
      <c r="G14" s="7" t="e">
        <f t="shared" si="2"/>
        <v>#N/A</v>
      </c>
      <c r="H14" s="7" t="e">
        <f t="shared" si="3"/>
        <v>#N/A</v>
      </c>
      <c r="I14" s="7" t="e">
        <f t="shared" si="4"/>
        <v>#N/A</v>
      </c>
      <c r="J14" s="7"/>
      <c r="M14" s="6"/>
      <c r="N14" s="6"/>
      <c r="O14" s="11" t="str">
        <f t="array" ref="O14">IF(ISERROR(INDEX($A$5:$A$35,SMALL(IF($E$5:$E$35=P$4,ROW($E$5:$E$35)-4,""),ROW(10:10)),1)),"",INDEX($A$5:$A$35,SMALL(IF($E$5:$E$35=P$4,ROW($E$5:$E$35)-4,""),ROW(10:10)),1))</f>
        <v/>
      </c>
      <c r="P14" s="12" t="str">
        <f t="array" ref="P14">IF(ISERROR(INDEX($B$5:$B$35,SMALL(IF($E$5:$E$35=P$4,ROW($E$5:$E$35)-4,""),ROW(10:10)),1)),"",INDEX($B$5:$B$35,SMALL(IF($E$5:$E$35=P$4,ROW($E$5:$E$35)-4,""),ROW(10:10)),1))</f>
        <v/>
      </c>
      <c r="Q14" s="11" t="str">
        <f t="array" ref="Q14">IF(ISERROR(INDEX($A$5:$A$35,SMALL(IF($E$5:$E$35=R$4,ROW($E$5:$E$35)-4,""),ROW(10:10)),1)),"",INDEX($A$5:$A$35,SMALL(IF($E$5:$E$35=R$4,ROW($E$5:$E$35)-4,""),ROW(10:10)),1))</f>
        <v/>
      </c>
      <c r="R14" s="12" t="str">
        <f t="array" ref="R14">IF(ISERROR(INDEX($B$5:$B$35,SMALL(IF($E$5:$E$35=R$4,ROW($E$5:$E$35)-4,""),ROW(10:10)),1)),"",INDEX($B$5:$B$35,SMALL(IF($E$5:$E$35=R$4,ROW($E$5:$E$35)-4,""),ROW(10:10)),1))</f>
        <v/>
      </c>
      <c r="S14" s="11" t="str">
        <f t="array" ref="S14">IF(ISERROR(INDEX($A$5:$A$35,SMALL(IF($E$5:$E$35=T$4,ROW($E$5:$E$35)-4,""),ROW(10:10)),1)),"",INDEX($A$5:$A$35,SMALL(IF($E$5:$E$35=T$4,ROW($E$5:$E$35)-4,""),ROW(10:10)),1))</f>
        <v/>
      </c>
      <c r="T14" s="12" t="str">
        <f t="array" ref="T14">IF(ISERROR(INDEX($B$5:$B$35,SMALL(IF($E$5:$E$35=T$4,ROW($E$5:$E$35)-4,""),ROW(10:10)),1)),"",INDEX($B$5:$B$35,SMALL(IF($E$5:$E$35=T$4,ROW($E$5:$E$35)-4,""),ROW(10:10)),1))</f>
        <v/>
      </c>
      <c r="U14" s="11" t="str">
        <f t="array" ref="U14">IF(ISERROR(INDEX($A$5:$A$35,SMALL(IF($E$5:$E$35=V$4,ROW($E$5:$E$35)-4,""),ROW(10:10)),1)),"",INDEX($A$5:$A$35,SMALL(IF($E$5:$E$35=V$4,ROW($E$5:$E$35)-4,""),ROW(10:10)),1))</f>
        <v/>
      </c>
      <c r="V14" s="12" t="str">
        <f t="array" ref="V14">IF(ISERROR(INDEX($B$5:$B$35,SMALL(IF($E$5:$E$35=V$4,ROW($E$5:$E$35)-4,""),ROW(10:10)),1)),"",INDEX($B$5:$B$35,SMALL(IF($E$5:$E$35=V$4,ROW($E$5:$E$35)-4,""),ROW(10:10)),1))</f>
        <v/>
      </c>
    </row>
    <row r="15" spans="1:22" x14ac:dyDescent="0.2">
      <c r="A15" s="22"/>
      <c r="B15" s="22"/>
      <c r="C15" s="23"/>
      <c r="D15" s="26"/>
      <c r="E15" s="7" t="str">
        <f t="shared" si="0"/>
        <v/>
      </c>
      <c r="F15" s="7" t="e">
        <f t="shared" si="1"/>
        <v>#N/A</v>
      </c>
      <c r="G15" s="7" t="e">
        <f t="shared" si="2"/>
        <v>#N/A</v>
      </c>
      <c r="H15" s="7" t="e">
        <f t="shared" si="3"/>
        <v>#N/A</v>
      </c>
      <c r="I15" s="7" t="e">
        <f t="shared" si="4"/>
        <v>#N/A</v>
      </c>
      <c r="M15" s="6"/>
      <c r="N15" s="6"/>
      <c r="O15" s="11" t="str">
        <f t="array" ref="O15">IF(ISERROR(INDEX($A$5:$A$35,SMALL(IF($E$5:$E$35=P$4,ROW($E$5:$E$35)-4,""),ROW(11:11)),1)),"",INDEX($A$5:$A$35,SMALL(IF($E$5:$E$35=P$4,ROW($E$5:$E$35)-4,""),ROW(11:11)),1))</f>
        <v/>
      </c>
      <c r="P15" s="12" t="str">
        <f t="array" ref="P15">IF(ISERROR(INDEX($B$5:$B$35,SMALL(IF($E$5:$E$35=P$4,ROW($E$5:$E$35)-4,""),ROW(11:11)),1)),"",INDEX($B$5:$B$35,SMALL(IF($E$5:$E$35=P$4,ROW($E$5:$E$35)-4,""),ROW(11:11)),1))</f>
        <v/>
      </c>
      <c r="Q15" s="11" t="str">
        <f t="array" ref="Q15">IF(ISERROR(INDEX($A$5:$A$35,SMALL(IF($E$5:$E$35=R$4,ROW($E$5:$E$35)-4,""),ROW(11:11)),1)),"",INDEX($A$5:$A$35,SMALL(IF($E$5:$E$35=R$4,ROW($E$5:$E$35)-4,""),ROW(11:11)),1))</f>
        <v/>
      </c>
      <c r="R15" s="12" t="str">
        <f t="array" ref="R15">IF(ISERROR(INDEX($B$5:$B$35,SMALL(IF($E$5:$E$35=R$4,ROW($E$5:$E$35)-4,""),ROW(11:11)),1)),"",INDEX($B$5:$B$35,SMALL(IF($E$5:$E$35=R$4,ROW($E$5:$E$35)-4,""),ROW(11:11)),1))</f>
        <v/>
      </c>
      <c r="S15" s="11" t="str">
        <f t="array" ref="S15">IF(ISERROR(INDEX($A$5:$A$35,SMALL(IF($E$5:$E$35=T$4,ROW($E$5:$E$35)-4,""),ROW(11:11)),1)),"",INDEX($A$5:$A$35,SMALL(IF($E$5:$E$35=T$4,ROW($E$5:$E$35)-4,""),ROW(11:11)),1))</f>
        <v/>
      </c>
      <c r="T15" s="12" t="str">
        <f t="array" ref="T15">IF(ISERROR(INDEX($B$5:$B$35,SMALL(IF($E$5:$E$35=T$4,ROW($E$5:$E$35)-4,""),ROW(11:11)),1)),"",INDEX($B$5:$B$35,SMALL(IF($E$5:$E$35=T$4,ROW($E$5:$E$35)-4,""),ROW(11:11)),1))</f>
        <v/>
      </c>
      <c r="U15" s="11" t="str">
        <f t="array" ref="U15">IF(ISERROR(INDEX($A$5:$A$35,SMALL(IF($E$5:$E$35=V$4,ROW($E$5:$E$35)-4,""),ROW(11:11)),1)),"",INDEX($A$5:$A$35,SMALL(IF($E$5:$E$35=V$4,ROW($E$5:$E$35)-4,""),ROW(11:11)),1))</f>
        <v/>
      </c>
      <c r="V15" s="12" t="str">
        <f t="array" ref="V15">IF(ISERROR(INDEX($B$5:$B$35,SMALL(IF($E$5:$E$35=V$4,ROW($E$5:$E$35)-4,""),ROW(11:11)),1)),"",INDEX($B$5:$B$35,SMALL(IF($E$5:$E$35=V$4,ROW($E$5:$E$35)-4,""),ROW(11:11)),1))</f>
        <v/>
      </c>
    </row>
    <row r="16" spans="1:22" x14ac:dyDescent="0.2">
      <c r="A16" s="22"/>
      <c r="B16" s="22"/>
      <c r="C16" s="23"/>
      <c r="D16" s="26"/>
      <c r="E16" s="7" t="str">
        <f t="shared" si="0"/>
        <v/>
      </c>
      <c r="F16" s="7" t="e">
        <f t="shared" si="1"/>
        <v>#N/A</v>
      </c>
      <c r="G16" s="7" t="e">
        <f t="shared" si="2"/>
        <v>#N/A</v>
      </c>
      <c r="H16" s="7" t="e">
        <f t="shared" si="3"/>
        <v>#N/A</v>
      </c>
      <c r="I16" s="7" t="e">
        <f t="shared" si="4"/>
        <v>#N/A</v>
      </c>
      <c r="O16" s="11" t="str">
        <f t="array" ref="O16">IF(ISERROR(INDEX($A$5:$A$35,SMALL(IF($E$5:$E$35=P$4,ROW($E$5:$E$35)-4,""),ROW(12:12)),1)),"",INDEX($A$5:$A$35,SMALL(IF($E$5:$E$35=P$4,ROW($E$5:$E$35)-4,""),ROW(12:12)),1))</f>
        <v/>
      </c>
      <c r="P16" s="12" t="str">
        <f t="array" ref="P16">IF(ISERROR(INDEX($B$5:$B$35,SMALL(IF($E$5:$E$35=P$4,ROW($E$5:$E$35)-4,""),ROW(12:12)),1)),"",INDEX($B$5:$B$35,SMALL(IF($E$5:$E$35=P$4,ROW($E$5:$E$35)-4,""),ROW(12:12)),1))</f>
        <v/>
      </c>
      <c r="Q16" s="11" t="str">
        <f t="array" ref="Q16">IF(ISERROR(INDEX($A$5:$A$35,SMALL(IF($E$5:$E$35=R$4,ROW($E$5:$E$35)-4,""),ROW(12:12)),1)),"",INDEX($A$5:$A$35,SMALL(IF($E$5:$E$35=R$4,ROW($E$5:$E$35)-4,""),ROW(12:12)),1))</f>
        <v/>
      </c>
      <c r="R16" s="12" t="str">
        <f t="array" ref="R16">IF(ISERROR(INDEX($B$5:$B$35,SMALL(IF($E$5:$E$35=R$4,ROW($E$5:$E$35)-4,""),ROW(12:12)),1)),"",INDEX($B$5:$B$35,SMALL(IF($E$5:$E$35=R$4,ROW($E$5:$E$35)-4,""),ROW(12:12)),1))</f>
        <v/>
      </c>
      <c r="S16" s="11" t="str">
        <f t="array" ref="S16">IF(ISERROR(INDEX($A$5:$A$35,SMALL(IF($E$5:$E$35=T$4,ROW($E$5:$E$35)-4,""),ROW(12:12)),1)),"",INDEX($A$5:$A$35,SMALL(IF($E$5:$E$35=T$4,ROW($E$5:$E$35)-4,""),ROW(12:12)),1))</f>
        <v/>
      </c>
      <c r="T16" s="12" t="str">
        <f t="array" ref="T16">IF(ISERROR(INDEX($B$5:$B$35,SMALL(IF($E$5:$E$35=T$4,ROW($E$5:$E$35)-4,""),ROW(12:12)),1)),"",INDEX($B$5:$B$35,SMALL(IF($E$5:$E$35=T$4,ROW($E$5:$E$35)-4,""),ROW(12:12)),1))</f>
        <v/>
      </c>
      <c r="U16" s="11" t="str">
        <f t="array" ref="U16">IF(ISERROR(INDEX($A$5:$A$35,SMALL(IF($E$5:$E$35=V$4,ROW($E$5:$E$35)-4,""),ROW(12:12)),1)),"",INDEX($A$5:$A$35,SMALL(IF($E$5:$E$35=V$4,ROW($E$5:$E$35)-4,""),ROW(12:12)),1))</f>
        <v/>
      </c>
      <c r="V16" s="12" t="str">
        <f t="array" ref="V16">IF(ISERROR(INDEX($B$5:$B$35,SMALL(IF($E$5:$E$35=V$4,ROW($E$5:$E$35)-4,""),ROW(12:12)),1)),"",INDEX($B$5:$B$35,SMALL(IF($E$5:$E$35=V$4,ROW($E$5:$E$35)-4,""),ROW(12:12)),1))</f>
        <v/>
      </c>
    </row>
    <row r="17" spans="1:22" x14ac:dyDescent="0.2">
      <c r="A17" s="22"/>
      <c r="B17" s="22"/>
      <c r="C17" s="23"/>
      <c r="D17" s="26"/>
      <c r="E17" s="7" t="str">
        <f t="shared" si="0"/>
        <v/>
      </c>
      <c r="F17" s="7" t="e">
        <f t="shared" si="1"/>
        <v>#N/A</v>
      </c>
      <c r="G17" s="7" t="e">
        <f t="shared" si="2"/>
        <v>#N/A</v>
      </c>
      <c r="H17" s="7" t="e">
        <f t="shared" si="3"/>
        <v>#N/A</v>
      </c>
      <c r="I17" s="7" t="e">
        <f t="shared" si="4"/>
        <v>#N/A</v>
      </c>
      <c r="O17" s="11" t="str">
        <f t="array" ref="O17">IF(ISERROR(INDEX($A$5:$A$35,SMALL(IF($E$5:$E$35=P$4,ROW($E$5:$E$35)-4,""),ROW(13:13)),1)),"",INDEX($A$5:$A$35,SMALL(IF($E$5:$E$35=P$4,ROW($E$5:$E$35)-4,""),ROW(13:13)),1))</f>
        <v/>
      </c>
      <c r="P17" s="12" t="str">
        <f t="array" ref="P17">IF(ISERROR(INDEX($B$5:$B$35,SMALL(IF($E$5:$E$35=P$4,ROW($E$5:$E$35)-4,""),ROW(13:13)),1)),"",INDEX($B$5:$B$35,SMALL(IF($E$5:$E$35=P$4,ROW($E$5:$E$35)-4,""),ROW(13:13)),1))</f>
        <v/>
      </c>
      <c r="Q17" s="11" t="str">
        <f t="array" ref="Q17">IF(ISERROR(INDEX($A$5:$A$35,SMALL(IF($E$5:$E$35=R$4,ROW($E$5:$E$35)-4,""),ROW(13:13)),1)),"",INDEX($A$5:$A$35,SMALL(IF($E$5:$E$35=R$4,ROW($E$5:$E$35)-4,""),ROW(13:13)),1))</f>
        <v/>
      </c>
      <c r="R17" s="12" t="str">
        <f t="array" ref="R17">IF(ISERROR(INDEX($B$5:$B$35,SMALL(IF($E$5:$E$35=R$4,ROW($E$5:$E$35)-4,""),ROW(13:13)),1)),"",INDEX($B$5:$B$35,SMALL(IF($E$5:$E$35=R$4,ROW($E$5:$E$35)-4,""),ROW(13:13)),1))</f>
        <v/>
      </c>
      <c r="S17" s="11" t="str">
        <f t="array" ref="S17">IF(ISERROR(INDEX($A$5:$A$35,SMALL(IF($E$5:$E$35=T$4,ROW($E$5:$E$35)-4,""),ROW(13:13)),1)),"",INDEX($A$5:$A$35,SMALL(IF($E$5:$E$35=T$4,ROW($E$5:$E$35)-4,""),ROW(13:13)),1))</f>
        <v/>
      </c>
      <c r="T17" s="12" t="str">
        <f t="array" ref="T17">IF(ISERROR(INDEX($B$5:$B$35,SMALL(IF($E$5:$E$35=T$4,ROW($E$5:$E$35)-4,""),ROW(13:13)),1)),"",INDEX($B$5:$B$35,SMALL(IF($E$5:$E$35=T$4,ROW($E$5:$E$35)-4,""),ROW(13:13)),1))</f>
        <v/>
      </c>
      <c r="U17" s="11" t="str">
        <f t="array" ref="U17">IF(ISERROR(INDEX($A$5:$A$35,SMALL(IF($E$5:$E$35=V$4,ROW($E$5:$E$35)-4,""),ROW(13:13)),1)),"",INDEX($A$5:$A$35,SMALL(IF($E$5:$E$35=V$4,ROW($E$5:$E$35)-4,""),ROW(13:13)),1))</f>
        <v/>
      </c>
      <c r="V17" s="12" t="str">
        <f t="array" ref="V17">IF(ISERROR(INDEX($B$5:$B$35,SMALL(IF($E$5:$E$35=V$4,ROW($E$5:$E$35)-4,""),ROW(13:13)),1)),"",INDEX($B$5:$B$35,SMALL(IF($E$5:$E$35=V$4,ROW($E$5:$E$35)-4,""),ROW(13:13)),1))</f>
        <v/>
      </c>
    </row>
    <row r="18" spans="1:22" x14ac:dyDescent="0.2">
      <c r="A18" s="22"/>
      <c r="B18" s="22"/>
      <c r="C18" s="23"/>
      <c r="D18" s="26"/>
      <c r="E18" s="7" t="str">
        <f t="shared" si="0"/>
        <v/>
      </c>
      <c r="F18" s="7" t="e">
        <f t="shared" si="1"/>
        <v>#N/A</v>
      </c>
      <c r="G18" s="7" t="e">
        <f t="shared" si="2"/>
        <v>#N/A</v>
      </c>
      <c r="H18" s="7" t="e">
        <f t="shared" si="3"/>
        <v>#N/A</v>
      </c>
      <c r="I18" s="7" t="e">
        <f t="shared" si="4"/>
        <v>#N/A</v>
      </c>
      <c r="O18" s="11" t="str">
        <f t="array" ref="O18">IF(ISERROR(INDEX($A$5:$A$35,SMALL(IF($E$5:$E$35=P$4,ROW($E$5:$E$35)-4,""),ROW(14:14)),1)),"",INDEX($A$5:$A$35,SMALL(IF($E$5:$E$35=P$4,ROW($E$5:$E$35)-4,""),ROW(14:14)),1))</f>
        <v/>
      </c>
      <c r="P18" s="12" t="str">
        <f t="array" ref="P18">IF(ISERROR(INDEX($B$5:$B$35,SMALL(IF($E$5:$E$35=P$4,ROW($E$5:$E$35)-4,""),ROW(14:14)),1)),"",INDEX($B$5:$B$35,SMALL(IF($E$5:$E$35=P$4,ROW($E$5:$E$35)-4,""),ROW(14:14)),1))</f>
        <v/>
      </c>
      <c r="Q18" s="11" t="str">
        <f t="array" ref="Q18">IF(ISERROR(INDEX($A$5:$A$35,SMALL(IF($E$5:$E$35=R$4,ROW($E$5:$E$35)-4,""),ROW(14:14)),1)),"",INDEX($A$5:$A$35,SMALL(IF($E$5:$E$35=R$4,ROW($E$5:$E$35)-4,""),ROW(14:14)),1))</f>
        <v/>
      </c>
      <c r="R18" s="12" t="str">
        <f t="array" ref="R18">IF(ISERROR(INDEX($B$5:$B$35,SMALL(IF($E$5:$E$35=R$4,ROW($E$5:$E$35)-4,""),ROW(14:14)),1)),"",INDEX($B$5:$B$35,SMALL(IF($E$5:$E$35=R$4,ROW($E$5:$E$35)-4,""),ROW(14:14)),1))</f>
        <v/>
      </c>
      <c r="S18" s="11" t="str">
        <f t="array" ref="S18">IF(ISERROR(INDEX($A$5:$A$35,SMALL(IF($E$5:$E$35=T$4,ROW($E$5:$E$35)-4,""),ROW(14:14)),1)),"",INDEX($A$5:$A$35,SMALL(IF($E$5:$E$35=T$4,ROW($E$5:$E$35)-4,""),ROW(14:14)),1))</f>
        <v/>
      </c>
      <c r="T18" s="12" t="str">
        <f t="array" ref="T18">IF(ISERROR(INDEX($B$5:$B$35,SMALL(IF($E$5:$E$35=T$4,ROW($E$5:$E$35)-4,""),ROW(14:14)),1)),"",INDEX($B$5:$B$35,SMALL(IF($E$5:$E$35=T$4,ROW($E$5:$E$35)-4,""),ROW(14:14)),1))</f>
        <v/>
      </c>
      <c r="U18" s="11" t="str">
        <f t="array" ref="U18">IF(ISERROR(INDEX($A$5:$A$35,SMALL(IF($E$5:$E$35=V$4,ROW($E$5:$E$35)-4,""),ROW(14:14)),1)),"",INDEX($A$5:$A$35,SMALL(IF($E$5:$E$35=V$4,ROW($E$5:$E$35)-4,""),ROW(14:14)),1))</f>
        <v/>
      </c>
      <c r="V18" s="12" t="str">
        <f t="array" ref="V18">IF(ISERROR(INDEX($B$5:$B$35,SMALL(IF($E$5:$E$35=V$4,ROW($E$5:$E$35)-4,""),ROW(14:14)),1)),"",INDEX($B$5:$B$35,SMALL(IF($E$5:$E$35=V$4,ROW($E$5:$E$35)-4,""),ROW(14:14)),1))</f>
        <v/>
      </c>
    </row>
    <row r="19" spans="1:22" x14ac:dyDescent="0.2">
      <c r="A19" s="22"/>
      <c r="B19" s="22"/>
      <c r="C19" s="23"/>
      <c r="D19" s="26"/>
      <c r="E19" s="7" t="str">
        <f t="shared" si="0"/>
        <v/>
      </c>
      <c r="F19" s="7" t="e">
        <f t="shared" si="1"/>
        <v>#N/A</v>
      </c>
      <c r="G19" s="7" t="e">
        <f t="shared" si="2"/>
        <v>#N/A</v>
      </c>
      <c r="H19" s="7" t="e">
        <f t="shared" si="3"/>
        <v>#N/A</v>
      </c>
      <c r="I19" s="7" t="e">
        <f t="shared" si="4"/>
        <v>#N/A</v>
      </c>
      <c r="O19" s="11" t="str">
        <f t="array" ref="O19">IF(ISERROR(INDEX($A$5:$A$35,SMALL(IF($E$5:$E$35=P$4,ROW($E$5:$E$35)-4,""),ROW(15:15)),1)),"",INDEX($A$5:$A$35,SMALL(IF($E$5:$E$35=P$4,ROW($E$5:$E$35)-4,""),ROW(15:15)),1))</f>
        <v/>
      </c>
      <c r="P19" s="12" t="str">
        <f t="array" ref="P19">IF(ISERROR(INDEX($B$5:$B$35,SMALL(IF($E$5:$E$35=P$4,ROW($E$5:$E$35)-4,""),ROW(15:15)),1)),"",INDEX($B$5:$B$35,SMALL(IF($E$5:$E$35=P$4,ROW($E$5:$E$35)-4,""),ROW(15:15)),1))</f>
        <v/>
      </c>
      <c r="Q19" s="11" t="str">
        <f t="array" ref="Q19">IF(ISERROR(INDEX($A$5:$A$35,SMALL(IF($E$5:$E$35=R$4,ROW($E$5:$E$35)-4,""),ROW(15:15)),1)),"",INDEX($A$5:$A$35,SMALL(IF($E$5:$E$35=R$4,ROW($E$5:$E$35)-4,""),ROW(15:15)),1))</f>
        <v/>
      </c>
      <c r="R19" s="12" t="str">
        <f t="array" ref="R19">IF(ISERROR(INDEX($B$5:$B$35,SMALL(IF($E$5:$E$35=R$4,ROW($E$5:$E$35)-4,""),ROW(15:15)),1)),"",INDEX($B$5:$B$35,SMALL(IF($E$5:$E$35=R$4,ROW($E$5:$E$35)-4,""),ROW(15:15)),1))</f>
        <v/>
      </c>
      <c r="S19" s="11" t="str">
        <f t="array" ref="S19">IF(ISERROR(INDEX($A$5:$A$35,SMALL(IF($E$5:$E$35=T$4,ROW($E$5:$E$35)-4,""),ROW(15:15)),1)),"",INDEX($A$5:$A$35,SMALL(IF($E$5:$E$35=T$4,ROW($E$5:$E$35)-4,""),ROW(15:15)),1))</f>
        <v/>
      </c>
      <c r="T19" s="12" t="str">
        <f t="array" ref="T19">IF(ISERROR(INDEX($B$5:$B$35,SMALL(IF($E$5:$E$35=T$4,ROW($E$5:$E$35)-4,""),ROW(15:15)),1)),"",INDEX($B$5:$B$35,SMALL(IF($E$5:$E$35=T$4,ROW($E$5:$E$35)-4,""),ROW(15:15)),1))</f>
        <v/>
      </c>
      <c r="U19" s="11" t="str">
        <f t="array" ref="U19">IF(ISERROR(INDEX($A$5:$A$35,SMALL(IF($E$5:$E$35=V$4,ROW($E$5:$E$35)-4,""),ROW(15:15)),1)),"",INDEX($A$5:$A$35,SMALL(IF($E$5:$E$35=V$4,ROW($E$5:$E$35)-4,""),ROW(15:15)),1))</f>
        <v/>
      </c>
      <c r="V19" s="12" t="str">
        <f t="array" ref="V19">IF(ISERROR(INDEX($B$5:$B$35,SMALL(IF($E$5:$E$35=V$4,ROW($E$5:$E$35)-4,""),ROW(15:15)),1)),"",INDEX($B$5:$B$35,SMALL(IF($E$5:$E$35=V$4,ROW($E$5:$E$35)-4,""),ROW(15:15)),1))</f>
        <v/>
      </c>
    </row>
    <row r="20" spans="1:22" x14ac:dyDescent="0.2">
      <c r="A20" s="22"/>
      <c r="B20" s="22"/>
      <c r="C20" s="23"/>
      <c r="D20" s="26"/>
      <c r="E20" s="7"/>
      <c r="F20" s="7" t="e">
        <f t="shared" si="1"/>
        <v>#N/A</v>
      </c>
      <c r="G20" s="7" t="e">
        <f t="shared" si="2"/>
        <v>#N/A</v>
      </c>
      <c r="H20" s="7" t="e">
        <f t="shared" si="3"/>
        <v>#N/A</v>
      </c>
      <c r="I20" s="7" t="e">
        <f t="shared" si="4"/>
        <v>#N/A</v>
      </c>
      <c r="O20" s="11" t="str">
        <f t="array" ref="O20">IF(ISERROR(INDEX($A$5:$A$35,SMALL(IF($E$5:$E$35=P$4,ROW($E$5:$E$35)-4,""),ROW(16:16)),1)),"",INDEX($A$5:$A$35,SMALL(IF($E$5:$E$35=P$4,ROW($E$5:$E$35)-4,""),ROW(16:16)),1))</f>
        <v/>
      </c>
      <c r="P20" s="12" t="str">
        <f t="array" ref="P20">IF(ISERROR(INDEX($B$5:$B$35,SMALL(IF($E$5:$E$35=P$4,ROW($E$5:$E$35)-4,""),ROW(16:16)),1)),"",INDEX($B$5:$B$35,SMALL(IF($E$5:$E$35=P$4,ROW($E$5:$E$35)-4,""),ROW(16:16)),1))</f>
        <v/>
      </c>
      <c r="Q20" s="11" t="str">
        <f t="array" ref="Q20">IF(ISERROR(INDEX($A$5:$A$35,SMALL(IF($E$5:$E$35=R$4,ROW($E$5:$E$35)-4,""),ROW(16:16)),1)),"",INDEX($A$5:$A$35,SMALL(IF($E$5:$E$35=R$4,ROW($E$5:$E$35)-4,""),ROW(16:16)),1))</f>
        <v/>
      </c>
      <c r="R20" s="12" t="str">
        <f t="array" ref="R20">IF(ISERROR(INDEX($B$5:$B$35,SMALL(IF($E$5:$E$35=R$4,ROW($E$5:$E$35)-4,""),ROW(16:16)),1)),"",INDEX($B$5:$B$35,SMALL(IF($E$5:$E$35=R$4,ROW($E$5:$E$35)-4,""),ROW(16:16)),1))</f>
        <v/>
      </c>
      <c r="S20" s="11" t="str">
        <f t="array" ref="S20">IF(ISERROR(INDEX($A$5:$A$35,SMALL(IF($E$5:$E$35=T$4,ROW($E$5:$E$35)-4,""),ROW(16:16)),1)),"",INDEX($A$5:$A$35,SMALL(IF($E$5:$E$35=T$4,ROW($E$5:$E$35)-4,""),ROW(16:16)),1))</f>
        <v/>
      </c>
      <c r="T20" s="12" t="str">
        <f t="array" ref="T20">IF(ISERROR(INDEX($B$5:$B$35,SMALL(IF($E$5:$E$35=T$4,ROW($E$5:$E$35)-4,""),ROW(16:16)),1)),"",INDEX($B$5:$B$35,SMALL(IF($E$5:$E$35=T$4,ROW($E$5:$E$35)-4,""),ROW(16:16)),1))</f>
        <v/>
      </c>
      <c r="U20" s="11" t="str">
        <f t="array" ref="U20">IF(ISERROR(INDEX($A$5:$A$35,SMALL(IF($E$5:$E$35=V$4,ROW($E$5:$E$35)-4,""),ROW(16:16)),1)),"",INDEX($A$5:$A$35,SMALL(IF($E$5:$E$35=V$4,ROW($E$5:$E$35)-4,""),ROW(16:16)),1))</f>
        <v/>
      </c>
      <c r="V20" s="12" t="str">
        <f t="array" ref="V20">IF(ISERROR(INDEX($B$5:$B$35,SMALL(IF($E$5:$E$35=V$4,ROW($E$5:$E$35)-4,""),ROW(16:16)),1)),"",INDEX($B$5:$B$35,SMALL(IF($E$5:$E$35=V$4,ROW($E$5:$E$35)-4,""),ROW(16:16)),1))</f>
        <v/>
      </c>
    </row>
    <row r="21" spans="1:22" x14ac:dyDescent="0.2">
      <c r="A21" s="22"/>
      <c r="B21" s="22"/>
      <c r="C21" s="23"/>
      <c r="D21" s="26"/>
      <c r="E21" s="7"/>
      <c r="F21" s="7" t="e">
        <f t="shared" si="1"/>
        <v>#N/A</v>
      </c>
      <c r="G21" s="7" t="e">
        <f t="shared" si="2"/>
        <v>#N/A</v>
      </c>
      <c r="H21" s="7" t="e">
        <f t="shared" si="3"/>
        <v>#N/A</v>
      </c>
      <c r="I21" s="7" t="e">
        <f t="shared" si="4"/>
        <v>#N/A</v>
      </c>
      <c r="O21" s="11" t="str">
        <f t="array" ref="O21">IF(ISERROR(INDEX($A$5:$A$35,SMALL(IF($E$5:$E$35=P$4,ROW($E$5:$E$35)-4,""),ROW(17:17)),1)),"",INDEX($A$5:$A$35,SMALL(IF($E$5:$E$35=P$4,ROW($E$5:$E$35)-4,""),ROW(17:17)),1))</f>
        <v/>
      </c>
      <c r="P21" s="12" t="str">
        <f t="array" ref="P21">IF(ISERROR(INDEX($B$5:$B$35,SMALL(IF($E$5:$E$35=P$4,ROW($E$5:$E$35)-4,""),ROW(17:17)),1)),"",INDEX($B$5:$B$35,SMALL(IF($E$5:$E$35=P$4,ROW($E$5:$E$35)-4,""),ROW(17:17)),1))</f>
        <v/>
      </c>
      <c r="Q21" s="11" t="str">
        <f t="array" ref="Q21">IF(ISERROR(INDEX($A$5:$A$35,SMALL(IF($E$5:$E$35=R$4,ROW($E$5:$E$35)-4,""),ROW(17:17)),1)),"",INDEX($A$5:$A$35,SMALL(IF($E$5:$E$35=R$4,ROW($E$5:$E$35)-4,""),ROW(17:17)),1))</f>
        <v/>
      </c>
      <c r="R21" s="12" t="str">
        <f t="array" ref="R21">IF(ISERROR(INDEX($B$5:$B$35,SMALL(IF($E$5:$E$35=R$4,ROW($E$5:$E$35)-4,""),ROW(17:17)),1)),"",INDEX($B$5:$B$35,SMALL(IF($E$5:$E$35=R$4,ROW($E$5:$E$35)-4,""),ROW(17:17)),1))</f>
        <v/>
      </c>
      <c r="S21" s="11" t="str">
        <f t="array" ref="S21">IF(ISERROR(INDEX($A$5:$A$35,SMALL(IF($E$5:$E$35=T$4,ROW($E$5:$E$35)-4,""),ROW(17:17)),1)),"",INDEX($A$5:$A$35,SMALL(IF($E$5:$E$35=T$4,ROW($E$5:$E$35)-4,""),ROW(17:17)),1))</f>
        <v/>
      </c>
      <c r="T21" s="12" t="str">
        <f t="array" ref="T21">IF(ISERROR(INDEX($B$5:$B$35,SMALL(IF($E$5:$E$35=T$4,ROW($E$5:$E$35)-4,""),ROW(17:17)),1)),"",INDEX($B$5:$B$35,SMALL(IF($E$5:$E$35=T$4,ROW($E$5:$E$35)-4,""),ROW(17:17)),1))</f>
        <v/>
      </c>
      <c r="U21" s="11" t="str">
        <f t="array" ref="U21">IF(ISERROR(INDEX($A$5:$A$35,SMALL(IF($E$5:$E$35=V$4,ROW($E$5:$E$35)-4,""),ROW(17:17)),1)),"",INDEX($A$5:$A$35,SMALL(IF($E$5:$E$35=V$4,ROW($E$5:$E$35)-4,""),ROW(17:17)),1))</f>
        <v/>
      </c>
      <c r="V21" s="12" t="str">
        <f t="array" ref="V21">IF(ISERROR(INDEX($B$5:$B$35,SMALL(IF($E$5:$E$35=V$4,ROW($E$5:$E$35)-4,""),ROW(17:17)),1)),"",INDEX($B$5:$B$35,SMALL(IF($E$5:$E$35=V$4,ROW($E$5:$E$35)-4,""),ROW(17:17)),1))</f>
        <v/>
      </c>
    </row>
    <row r="22" spans="1:22" x14ac:dyDescent="0.2">
      <c r="A22" s="22"/>
      <c r="B22" s="22"/>
      <c r="C22" s="27"/>
      <c r="D22" s="28"/>
      <c r="E22" s="7" t="str">
        <f t="shared" ref="E22:E35" si="5">IF(AND(C22="",D22=""),"",IF(AND(C22&gt;$L$8,D22&gt;$M$8),2,IF(AND(C22&gt;$L$8,D22&lt;=$M$8),4,IF(AND(C22&lt;=$L$8,D22&lt;=$M$8),3,1))))</f>
        <v/>
      </c>
      <c r="F22" s="7" t="e">
        <f t="shared" si="1"/>
        <v>#N/A</v>
      </c>
      <c r="G22" s="7" t="e">
        <f t="shared" si="2"/>
        <v>#N/A</v>
      </c>
      <c r="H22" s="7" t="e">
        <f t="shared" si="3"/>
        <v>#N/A</v>
      </c>
      <c r="I22" s="7" t="e">
        <f t="shared" si="4"/>
        <v>#N/A</v>
      </c>
      <c r="O22" s="11" t="str">
        <f t="array" ref="O22">IF(ISERROR(INDEX($A$5:$A$35,SMALL(IF($E$5:$E$35=P$4,ROW($E$5:$E$35)-4,""),ROW(18:18)),1)),"",INDEX($A$5:$A$35,SMALL(IF($E$5:$E$35=P$4,ROW($E$5:$E$35)-4,""),ROW(18:18)),1))</f>
        <v/>
      </c>
      <c r="P22" s="12" t="str">
        <f t="array" ref="P22">IF(ISERROR(INDEX($B$5:$B$35,SMALL(IF($E$5:$E$35=P$4,ROW($E$5:$E$35)-4,""),ROW(18:18)),1)),"",INDEX($B$5:$B$35,SMALL(IF($E$5:$E$35=P$4,ROW($E$5:$E$35)-4,""),ROW(18:18)),1))</f>
        <v/>
      </c>
      <c r="Q22" s="11" t="str">
        <f t="array" ref="Q22">IF(ISERROR(INDEX($A$5:$A$35,SMALL(IF($E$5:$E$35=R$4,ROW($E$5:$E$35)-4,""),ROW(18:18)),1)),"",INDEX($A$5:$A$35,SMALL(IF($E$5:$E$35=R$4,ROW($E$5:$E$35)-4,""),ROW(18:18)),1))</f>
        <v/>
      </c>
      <c r="R22" s="12" t="str">
        <f t="array" ref="R22">IF(ISERROR(INDEX($B$5:$B$35,SMALL(IF($E$5:$E$35=R$4,ROW($E$5:$E$35)-4,""),ROW(18:18)),1)),"",INDEX($B$5:$B$35,SMALL(IF($E$5:$E$35=R$4,ROW($E$5:$E$35)-4,""),ROW(18:18)),1))</f>
        <v/>
      </c>
      <c r="S22" s="11" t="str">
        <f t="array" ref="S22">IF(ISERROR(INDEX($A$5:$A$35,SMALL(IF($E$5:$E$35=T$4,ROW($E$5:$E$35)-4,""),ROW(18:18)),1)),"",INDEX($A$5:$A$35,SMALL(IF($E$5:$E$35=T$4,ROW($E$5:$E$35)-4,""),ROW(18:18)),1))</f>
        <v/>
      </c>
      <c r="T22" s="12" t="str">
        <f t="array" ref="T22">IF(ISERROR(INDEX($B$5:$B$35,SMALL(IF($E$5:$E$35=T$4,ROW($E$5:$E$35)-4,""),ROW(18:18)),1)),"",INDEX($B$5:$B$35,SMALL(IF($E$5:$E$35=T$4,ROW($E$5:$E$35)-4,""),ROW(18:18)),1))</f>
        <v/>
      </c>
      <c r="U22" s="11" t="str">
        <f t="array" ref="U22">IF(ISERROR(INDEX($A$5:$A$35,SMALL(IF($E$5:$E$35=V$4,ROW($E$5:$E$35)-4,""),ROW(18:18)),1)),"",INDEX($A$5:$A$35,SMALL(IF($E$5:$E$35=V$4,ROW($E$5:$E$35)-4,""),ROW(18:18)),1))</f>
        <v/>
      </c>
      <c r="V22" s="12" t="str">
        <f t="array" ref="V22">IF(ISERROR(INDEX($B$5:$B$35,SMALL(IF($E$5:$E$35=V$4,ROW($E$5:$E$35)-4,""),ROW(18:18)),1)),"",INDEX($B$5:$B$35,SMALL(IF($E$5:$E$35=V$4,ROW($E$5:$E$35)-4,""),ROW(18:18)),1))</f>
        <v/>
      </c>
    </row>
    <row r="23" spans="1:22" x14ac:dyDescent="0.2">
      <c r="A23" s="22"/>
      <c r="B23" s="22"/>
      <c r="C23" s="27"/>
      <c r="D23" s="28"/>
      <c r="E23" s="7" t="str">
        <f t="shared" si="5"/>
        <v/>
      </c>
      <c r="F23" s="7" t="e">
        <f t="shared" si="1"/>
        <v>#N/A</v>
      </c>
      <c r="G23" s="7" t="e">
        <f t="shared" si="2"/>
        <v>#N/A</v>
      </c>
      <c r="H23" s="7" t="e">
        <f t="shared" si="3"/>
        <v>#N/A</v>
      </c>
      <c r="I23" s="7" t="e">
        <f t="shared" si="4"/>
        <v>#N/A</v>
      </c>
      <c r="O23" s="11" t="str">
        <f t="array" ref="O23">IF(ISERROR(INDEX($A$5:$A$35,SMALL(IF($E$5:$E$35=P$4,ROW($E$5:$E$35)-4,""),ROW(19:19)),1)),"",INDEX($A$5:$A$35,SMALL(IF($E$5:$E$35=P$4,ROW($E$5:$E$35)-4,""),ROW(19:19)),1))</f>
        <v/>
      </c>
      <c r="P23" s="12" t="str">
        <f t="array" ref="P23">IF(ISERROR(INDEX($B$5:$B$35,SMALL(IF($E$5:$E$35=P$4,ROW($E$5:$E$35)-4,""),ROW(19:19)),1)),"",INDEX($B$5:$B$35,SMALL(IF($E$5:$E$35=P$4,ROW($E$5:$E$35)-4,""),ROW(19:19)),1))</f>
        <v/>
      </c>
      <c r="Q23" s="11" t="str">
        <f t="array" ref="Q23">IF(ISERROR(INDEX($A$5:$A$35,SMALL(IF($E$5:$E$35=R$4,ROW($E$5:$E$35)-4,""),ROW(19:19)),1)),"",INDEX($A$5:$A$35,SMALL(IF($E$5:$E$35=R$4,ROW($E$5:$E$35)-4,""),ROW(19:19)),1))</f>
        <v/>
      </c>
      <c r="R23" s="12" t="str">
        <f t="array" ref="R23">IF(ISERROR(INDEX($B$5:$B$35,SMALL(IF($E$5:$E$35=R$4,ROW($E$5:$E$35)-4,""),ROW(19:19)),1)),"",INDEX($B$5:$B$35,SMALL(IF($E$5:$E$35=R$4,ROW($E$5:$E$35)-4,""),ROW(19:19)),1))</f>
        <v/>
      </c>
      <c r="S23" s="11" t="str">
        <f t="array" ref="S23">IF(ISERROR(INDEX($A$5:$A$35,SMALL(IF($E$5:$E$35=T$4,ROW($E$5:$E$35)-4,""),ROW(19:19)),1)),"",INDEX($A$5:$A$35,SMALL(IF($E$5:$E$35=T$4,ROW($E$5:$E$35)-4,""),ROW(19:19)),1))</f>
        <v/>
      </c>
      <c r="T23" s="12" t="str">
        <f t="array" ref="T23">IF(ISERROR(INDEX($B$5:$B$35,SMALL(IF($E$5:$E$35=T$4,ROW($E$5:$E$35)-4,""),ROW(19:19)),1)),"",INDEX($B$5:$B$35,SMALL(IF($E$5:$E$35=T$4,ROW($E$5:$E$35)-4,""),ROW(19:19)),1))</f>
        <v/>
      </c>
      <c r="U23" s="11" t="str">
        <f t="array" ref="U23">IF(ISERROR(INDEX($A$5:$A$35,SMALL(IF($E$5:$E$35=V$4,ROW($E$5:$E$35)-4,""),ROW(19:19)),1)),"",INDEX($A$5:$A$35,SMALL(IF($E$5:$E$35=V$4,ROW($E$5:$E$35)-4,""),ROW(19:19)),1))</f>
        <v/>
      </c>
      <c r="V23" s="12" t="str">
        <f t="array" ref="V23">IF(ISERROR(INDEX($B$5:$B$35,SMALL(IF($E$5:$E$35=V$4,ROW($E$5:$E$35)-4,""),ROW(19:19)),1)),"",INDEX($B$5:$B$35,SMALL(IF($E$5:$E$35=V$4,ROW($E$5:$E$35)-4,""),ROW(19:19)),1))</f>
        <v/>
      </c>
    </row>
    <row r="24" spans="1:22" x14ac:dyDescent="0.2">
      <c r="A24" s="22"/>
      <c r="B24" s="22"/>
      <c r="C24" s="27"/>
      <c r="D24" s="28"/>
      <c r="E24" s="7" t="str">
        <f t="shared" si="5"/>
        <v/>
      </c>
      <c r="F24" s="7" t="e">
        <f t="shared" si="1"/>
        <v>#N/A</v>
      </c>
      <c r="G24" s="7" t="e">
        <f t="shared" si="2"/>
        <v>#N/A</v>
      </c>
      <c r="H24" s="7" t="e">
        <f t="shared" si="3"/>
        <v>#N/A</v>
      </c>
      <c r="I24" s="7" t="e">
        <f t="shared" si="4"/>
        <v>#N/A</v>
      </c>
      <c r="O24" s="11" t="str">
        <f t="array" ref="O24">IF(ISERROR(INDEX($A$5:$A$35,SMALL(IF($E$5:$E$35=P$4,ROW($E$5:$E$35)-4,""),ROW(20:20)),1)),"",INDEX($A$5:$A$35,SMALL(IF($E$5:$E$35=P$4,ROW($E$5:$E$35)-4,""),ROW(20:20)),1))</f>
        <v/>
      </c>
      <c r="P24" s="12" t="str">
        <f t="array" ref="P24">IF(ISERROR(INDEX($B$5:$B$35,SMALL(IF($E$5:$E$35=P$4,ROW($E$5:$E$35)-4,""),ROW(20:20)),1)),"",INDEX($B$5:$B$35,SMALL(IF($E$5:$E$35=P$4,ROW($E$5:$E$35)-4,""),ROW(20:20)),1))</f>
        <v/>
      </c>
      <c r="Q24" s="11" t="str">
        <f t="array" ref="Q24">IF(ISERROR(INDEX($A$5:$A$35,SMALL(IF($E$5:$E$35=R$4,ROW($E$5:$E$35)-4,""),ROW(20:20)),1)),"",INDEX($A$5:$A$35,SMALL(IF($E$5:$E$35=R$4,ROW($E$5:$E$35)-4,""),ROW(20:20)),1))</f>
        <v/>
      </c>
      <c r="R24" s="12" t="str">
        <f t="array" ref="R24">IF(ISERROR(INDEX($B$5:$B$35,SMALL(IF($E$5:$E$35=R$4,ROW($E$5:$E$35)-4,""),ROW(20:20)),1)),"",INDEX($B$5:$B$35,SMALL(IF($E$5:$E$35=R$4,ROW($E$5:$E$35)-4,""),ROW(20:20)),1))</f>
        <v/>
      </c>
      <c r="S24" s="11" t="str">
        <f t="array" ref="S24">IF(ISERROR(INDEX($A$5:$A$35,SMALL(IF($E$5:$E$35=T$4,ROW($E$5:$E$35)-4,""),ROW(20:20)),1)),"",INDEX($A$5:$A$35,SMALL(IF($E$5:$E$35=T$4,ROW($E$5:$E$35)-4,""),ROW(20:20)),1))</f>
        <v/>
      </c>
      <c r="T24" s="12" t="str">
        <f t="array" ref="T24">IF(ISERROR(INDEX($B$5:$B$35,SMALL(IF($E$5:$E$35=T$4,ROW($E$5:$E$35)-4,""),ROW(20:20)),1)),"",INDEX($B$5:$B$35,SMALL(IF($E$5:$E$35=T$4,ROW($E$5:$E$35)-4,""),ROW(20:20)),1))</f>
        <v/>
      </c>
      <c r="U24" s="11" t="str">
        <f t="array" ref="U24">IF(ISERROR(INDEX($A$5:$A$35,SMALL(IF($E$5:$E$35=V$4,ROW($E$5:$E$35)-4,""),ROW(20:20)),1)),"",INDEX($A$5:$A$35,SMALL(IF($E$5:$E$35=V$4,ROW($E$5:$E$35)-4,""),ROW(20:20)),1))</f>
        <v/>
      </c>
      <c r="V24" s="12" t="str">
        <f t="array" ref="V24">IF(ISERROR(INDEX($B$5:$B$35,SMALL(IF($E$5:$E$35=V$4,ROW($E$5:$E$35)-4,""),ROW(20:20)),1)),"",INDEX($B$5:$B$35,SMALL(IF($E$5:$E$35=V$4,ROW($E$5:$E$35)-4,""),ROW(20:20)),1))</f>
        <v/>
      </c>
    </row>
    <row r="25" spans="1:22" x14ac:dyDescent="0.2">
      <c r="A25" s="22"/>
      <c r="B25" s="22"/>
      <c r="C25" s="27"/>
      <c r="D25" s="28"/>
      <c r="E25" s="7" t="str">
        <f t="shared" si="5"/>
        <v/>
      </c>
      <c r="F25" s="7" t="e">
        <f t="shared" si="1"/>
        <v>#N/A</v>
      </c>
      <c r="G25" s="7" t="e">
        <f t="shared" si="2"/>
        <v>#N/A</v>
      </c>
      <c r="H25" s="7" t="e">
        <f t="shared" si="3"/>
        <v>#N/A</v>
      </c>
      <c r="I25" s="7" t="e">
        <f t="shared" si="4"/>
        <v>#N/A</v>
      </c>
      <c r="O25" s="11" t="str">
        <f t="array" ref="O25">IF(ISERROR(INDEX($A$5:$A$35,SMALL(IF($E$5:$E$35=P$4,ROW($E$5:$E$35)-4,""),ROW(21:21)),1)),"",INDEX($A$5:$A$35,SMALL(IF($E$5:$E$35=P$4,ROW($E$5:$E$35)-4,""),ROW(21:21)),1))</f>
        <v/>
      </c>
      <c r="P25" s="12" t="str">
        <f t="array" ref="P25">IF(ISERROR(INDEX($B$5:$B$35,SMALL(IF($E$5:$E$35=P$4,ROW($E$5:$E$35)-4,""),ROW(21:21)),1)),"",INDEX($B$5:$B$35,SMALL(IF($E$5:$E$35=P$4,ROW($E$5:$E$35)-4,""),ROW(21:21)),1))</f>
        <v/>
      </c>
      <c r="Q25" s="11" t="str">
        <f t="array" ref="Q25">IF(ISERROR(INDEX($A$5:$A$35,SMALL(IF($E$5:$E$35=R$4,ROW($E$5:$E$35)-4,""),ROW(21:21)),1)),"",INDEX($A$5:$A$35,SMALL(IF($E$5:$E$35=R$4,ROW($E$5:$E$35)-4,""),ROW(21:21)),1))</f>
        <v/>
      </c>
      <c r="R25" s="12" t="str">
        <f t="array" ref="R25">IF(ISERROR(INDEX($B$5:$B$35,SMALL(IF($E$5:$E$35=R$4,ROW($E$5:$E$35)-4,""),ROW(21:21)),1)),"",INDEX($B$5:$B$35,SMALL(IF($E$5:$E$35=R$4,ROW($E$5:$E$35)-4,""),ROW(21:21)),1))</f>
        <v/>
      </c>
      <c r="S25" s="11" t="str">
        <f t="array" ref="S25">IF(ISERROR(INDEX($A$5:$A$35,SMALL(IF($E$5:$E$35=T$4,ROW($E$5:$E$35)-4,""),ROW(21:21)),1)),"",INDEX($A$5:$A$35,SMALL(IF($E$5:$E$35=T$4,ROW($E$5:$E$35)-4,""),ROW(21:21)),1))</f>
        <v/>
      </c>
      <c r="T25" s="12" t="str">
        <f t="array" ref="T25">IF(ISERROR(INDEX($B$5:$B$35,SMALL(IF($E$5:$E$35=T$4,ROW($E$5:$E$35)-4,""),ROW(21:21)),1)),"",INDEX($B$5:$B$35,SMALL(IF($E$5:$E$35=T$4,ROW($E$5:$E$35)-4,""),ROW(21:21)),1))</f>
        <v/>
      </c>
      <c r="U25" s="11" t="str">
        <f t="array" ref="U25">IF(ISERROR(INDEX($A$5:$A$35,SMALL(IF($E$5:$E$35=V$4,ROW($E$5:$E$35)-4,""),ROW(21:21)),1)),"",INDEX($A$5:$A$35,SMALL(IF($E$5:$E$35=V$4,ROW($E$5:$E$35)-4,""),ROW(21:21)),1))</f>
        <v/>
      </c>
      <c r="V25" s="12" t="str">
        <f t="array" ref="V25">IF(ISERROR(INDEX($B$5:$B$35,SMALL(IF($E$5:$E$35=V$4,ROW($E$5:$E$35)-4,""),ROW(21:21)),1)),"",INDEX($B$5:$B$35,SMALL(IF($E$5:$E$35=V$4,ROW($E$5:$E$35)-4,""),ROW(21:21)),1))</f>
        <v/>
      </c>
    </row>
    <row r="26" spans="1:22" x14ac:dyDescent="0.2">
      <c r="A26" s="22"/>
      <c r="B26" s="22"/>
      <c r="C26" s="27"/>
      <c r="D26" s="28"/>
      <c r="E26" s="7" t="str">
        <f t="shared" si="5"/>
        <v/>
      </c>
      <c r="F26" s="7" t="e">
        <f t="shared" si="1"/>
        <v>#N/A</v>
      </c>
      <c r="G26" s="7" t="e">
        <f t="shared" si="2"/>
        <v>#N/A</v>
      </c>
      <c r="H26" s="7" t="e">
        <f t="shared" si="3"/>
        <v>#N/A</v>
      </c>
      <c r="I26" s="7" t="e">
        <f t="shared" si="4"/>
        <v>#N/A</v>
      </c>
      <c r="O26" s="11" t="str">
        <f t="array" ref="O26">IF(ISERROR(INDEX($A$5:$A$35,SMALL(IF($E$5:$E$35=P$4,ROW($E$5:$E$35)-4,""),ROW(22:22)),1)),"",INDEX($A$5:$A$35,SMALL(IF($E$5:$E$35=P$4,ROW($E$5:$E$35)-4,""),ROW(22:22)),1))</f>
        <v/>
      </c>
      <c r="P26" s="12" t="str">
        <f t="array" ref="P26">IF(ISERROR(INDEX($B$5:$B$35,SMALL(IF($E$5:$E$35=P$4,ROW($E$5:$E$35)-4,""),ROW(22:22)),1)),"",INDEX($B$5:$B$35,SMALL(IF($E$5:$E$35=P$4,ROW($E$5:$E$35)-4,""),ROW(22:22)),1))</f>
        <v/>
      </c>
      <c r="Q26" s="11" t="str">
        <f t="array" ref="Q26">IF(ISERROR(INDEX($A$5:$A$35,SMALL(IF($E$5:$E$35=R$4,ROW($E$5:$E$35)-4,""),ROW(22:22)),1)),"",INDEX($A$5:$A$35,SMALL(IF($E$5:$E$35=R$4,ROW($E$5:$E$35)-4,""),ROW(22:22)),1))</f>
        <v/>
      </c>
      <c r="R26" s="12" t="str">
        <f t="array" ref="R26">IF(ISERROR(INDEX($B$5:$B$35,SMALL(IF($E$5:$E$35=R$4,ROW($E$5:$E$35)-4,""),ROW(22:22)),1)),"",INDEX($B$5:$B$35,SMALL(IF($E$5:$E$35=R$4,ROW($E$5:$E$35)-4,""),ROW(22:22)),1))</f>
        <v/>
      </c>
      <c r="S26" s="11" t="str">
        <f t="array" ref="S26">IF(ISERROR(INDEX($A$5:$A$35,SMALL(IF($E$5:$E$35=T$4,ROW($E$5:$E$35)-4,""),ROW(22:22)),1)),"",INDEX($A$5:$A$35,SMALL(IF($E$5:$E$35=T$4,ROW($E$5:$E$35)-4,""),ROW(22:22)),1))</f>
        <v/>
      </c>
      <c r="T26" s="12" t="str">
        <f t="array" ref="T26">IF(ISERROR(INDEX($B$5:$B$35,SMALL(IF($E$5:$E$35=T$4,ROW($E$5:$E$35)-4,""),ROW(22:22)),1)),"",INDEX($B$5:$B$35,SMALL(IF($E$5:$E$35=T$4,ROW($E$5:$E$35)-4,""),ROW(22:22)),1))</f>
        <v/>
      </c>
      <c r="U26" s="11" t="str">
        <f t="array" ref="U26">IF(ISERROR(INDEX($A$5:$A$35,SMALL(IF($E$5:$E$35=V$4,ROW($E$5:$E$35)-4,""),ROW(22:22)),1)),"",INDEX($A$5:$A$35,SMALL(IF($E$5:$E$35=V$4,ROW($E$5:$E$35)-4,""),ROW(22:22)),1))</f>
        <v/>
      </c>
      <c r="V26" s="12" t="str">
        <f t="array" ref="V26">IF(ISERROR(INDEX($B$5:$B$35,SMALL(IF($E$5:$E$35=V$4,ROW($E$5:$E$35)-4,""),ROW(22:22)),1)),"",INDEX($B$5:$B$35,SMALL(IF($E$5:$E$35=V$4,ROW($E$5:$E$35)-4,""),ROW(22:22)),1))</f>
        <v/>
      </c>
    </row>
    <row r="27" spans="1:22" x14ac:dyDescent="0.2">
      <c r="A27" s="22"/>
      <c r="B27" s="22"/>
      <c r="C27" s="27"/>
      <c r="D27" s="28"/>
      <c r="E27" s="7" t="str">
        <f t="shared" si="5"/>
        <v/>
      </c>
      <c r="F27" s="7" t="e">
        <f t="shared" si="1"/>
        <v>#N/A</v>
      </c>
      <c r="G27" s="7" t="e">
        <f t="shared" si="2"/>
        <v>#N/A</v>
      </c>
      <c r="H27" s="7" t="e">
        <f t="shared" si="3"/>
        <v>#N/A</v>
      </c>
      <c r="I27" s="7" t="e">
        <f t="shared" si="4"/>
        <v>#N/A</v>
      </c>
      <c r="O27" s="11" t="str">
        <f t="array" ref="O27">IF(ISERROR(INDEX($A$5:$A$35,SMALL(IF($E$5:$E$35=P$4,ROW($E$5:$E$35)-4,""),ROW(23:23)),1)),"",INDEX($A$5:$A$35,SMALL(IF($E$5:$E$35=P$4,ROW($E$5:$E$35)-4,""),ROW(23:23)),1))</f>
        <v/>
      </c>
      <c r="P27" s="12" t="str">
        <f t="array" ref="P27">IF(ISERROR(INDEX($B$5:$B$35,SMALL(IF($E$5:$E$35=P$4,ROW($E$5:$E$35)-4,""),ROW(23:23)),1)),"",INDEX($B$5:$B$35,SMALL(IF($E$5:$E$35=P$4,ROW($E$5:$E$35)-4,""),ROW(23:23)),1))</f>
        <v/>
      </c>
      <c r="Q27" s="11" t="str">
        <f t="array" ref="Q27">IF(ISERROR(INDEX($A$5:$A$35,SMALL(IF($E$5:$E$35=R$4,ROW($E$5:$E$35)-4,""),ROW(23:23)),1)),"",INDEX($A$5:$A$35,SMALL(IF($E$5:$E$35=R$4,ROW($E$5:$E$35)-4,""),ROW(23:23)),1))</f>
        <v/>
      </c>
      <c r="R27" s="12" t="str">
        <f t="array" ref="R27">IF(ISERROR(INDEX($B$5:$B$35,SMALL(IF($E$5:$E$35=R$4,ROW($E$5:$E$35)-4,""),ROW(23:23)),1)),"",INDEX($B$5:$B$35,SMALL(IF($E$5:$E$35=R$4,ROW($E$5:$E$35)-4,""),ROW(23:23)),1))</f>
        <v/>
      </c>
      <c r="S27" s="11" t="str">
        <f t="array" ref="S27">IF(ISERROR(INDEX($A$5:$A$35,SMALL(IF($E$5:$E$35=T$4,ROW($E$5:$E$35)-4,""),ROW(23:23)),1)),"",INDEX($A$5:$A$35,SMALL(IF($E$5:$E$35=T$4,ROW($E$5:$E$35)-4,""),ROW(23:23)),1))</f>
        <v/>
      </c>
      <c r="T27" s="12" t="str">
        <f t="array" ref="T27">IF(ISERROR(INDEX($B$5:$B$35,SMALL(IF($E$5:$E$35=T$4,ROW($E$5:$E$35)-4,""),ROW(23:23)),1)),"",INDEX($B$5:$B$35,SMALL(IF($E$5:$E$35=T$4,ROW($E$5:$E$35)-4,""),ROW(23:23)),1))</f>
        <v/>
      </c>
      <c r="U27" s="11" t="str">
        <f t="array" ref="U27">IF(ISERROR(INDEX($A$5:$A$35,SMALL(IF($E$5:$E$35=V$4,ROW($E$5:$E$35)-4,""),ROW(23:23)),1)),"",INDEX($A$5:$A$35,SMALL(IF($E$5:$E$35=V$4,ROW($E$5:$E$35)-4,""),ROW(23:23)),1))</f>
        <v/>
      </c>
      <c r="V27" s="12" t="str">
        <f t="array" ref="V27">IF(ISERROR(INDEX($B$5:$B$35,SMALL(IF($E$5:$E$35=V$4,ROW($E$5:$E$35)-4,""),ROW(23:23)),1)),"",INDEX($B$5:$B$35,SMALL(IF($E$5:$E$35=V$4,ROW($E$5:$E$35)-4,""),ROW(23:23)),1))</f>
        <v/>
      </c>
    </row>
    <row r="28" spans="1:22" x14ac:dyDescent="0.2">
      <c r="A28" s="22"/>
      <c r="B28" s="22"/>
      <c r="C28" s="27"/>
      <c r="D28" s="28"/>
      <c r="E28" s="7" t="str">
        <f t="shared" si="5"/>
        <v/>
      </c>
      <c r="F28" s="7" t="e">
        <f t="shared" si="1"/>
        <v>#N/A</v>
      </c>
      <c r="G28" s="7" t="e">
        <f t="shared" si="2"/>
        <v>#N/A</v>
      </c>
      <c r="H28" s="7" t="e">
        <f t="shared" si="3"/>
        <v>#N/A</v>
      </c>
      <c r="I28" s="7" t="e">
        <f t="shared" si="4"/>
        <v>#N/A</v>
      </c>
      <c r="O28" s="11" t="str">
        <f t="array" ref="O28">IF(ISERROR(INDEX($A$5:$A$35,SMALL(IF($E$5:$E$35=P$4,ROW($E$5:$E$35)-4,""),ROW(24:24)),1)),"",INDEX($A$5:$A$35,SMALL(IF($E$5:$E$35=P$4,ROW($E$5:$E$35)-4,""),ROW(24:24)),1))</f>
        <v/>
      </c>
      <c r="P28" s="12" t="str">
        <f t="array" ref="P28">IF(ISERROR(INDEX($B$5:$B$35,SMALL(IF($E$5:$E$35=P$4,ROW($E$5:$E$35)-4,""),ROW(24:24)),1)),"",INDEX($B$5:$B$35,SMALL(IF($E$5:$E$35=P$4,ROW($E$5:$E$35)-4,""),ROW(24:24)),1))</f>
        <v/>
      </c>
      <c r="Q28" s="11" t="str">
        <f t="array" ref="Q28">IF(ISERROR(INDEX($A$5:$A$35,SMALL(IF($E$5:$E$35=R$4,ROW($E$5:$E$35)-4,""),ROW(24:24)),1)),"",INDEX($A$5:$A$35,SMALL(IF($E$5:$E$35=R$4,ROW($E$5:$E$35)-4,""),ROW(24:24)),1))</f>
        <v/>
      </c>
      <c r="R28" s="12" t="str">
        <f t="array" ref="R28">IF(ISERROR(INDEX($B$5:$B$35,SMALL(IF($E$5:$E$35=R$4,ROW($E$5:$E$35)-4,""),ROW(24:24)),1)),"",INDEX($B$5:$B$35,SMALL(IF($E$5:$E$35=R$4,ROW($E$5:$E$35)-4,""),ROW(24:24)),1))</f>
        <v/>
      </c>
      <c r="S28" s="11" t="str">
        <f t="array" ref="S28">IF(ISERROR(INDEX($A$5:$A$35,SMALL(IF($E$5:$E$35=T$4,ROW($E$5:$E$35)-4,""),ROW(24:24)),1)),"",INDEX($A$5:$A$35,SMALL(IF($E$5:$E$35=T$4,ROW($E$5:$E$35)-4,""),ROW(24:24)),1))</f>
        <v/>
      </c>
      <c r="T28" s="12" t="str">
        <f t="array" ref="T28">IF(ISERROR(INDEX($B$5:$B$35,SMALL(IF($E$5:$E$35=T$4,ROW($E$5:$E$35)-4,""),ROW(24:24)),1)),"",INDEX($B$5:$B$35,SMALL(IF($E$5:$E$35=T$4,ROW($E$5:$E$35)-4,""),ROW(24:24)),1))</f>
        <v/>
      </c>
      <c r="U28" s="11" t="str">
        <f t="array" ref="U28">IF(ISERROR(INDEX($A$5:$A$35,SMALL(IF($E$5:$E$35=V$4,ROW($E$5:$E$35)-4,""),ROW(24:24)),1)),"",INDEX($A$5:$A$35,SMALL(IF($E$5:$E$35=V$4,ROW($E$5:$E$35)-4,""),ROW(24:24)),1))</f>
        <v/>
      </c>
      <c r="V28" s="12" t="str">
        <f t="array" ref="V28">IF(ISERROR(INDEX($B$5:$B$35,SMALL(IF($E$5:$E$35=V$4,ROW($E$5:$E$35)-4,""),ROW(24:24)),1)),"",INDEX($B$5:$B$35,SMALL(IF($E$5:$E$35=V$4,ROW($E$5:$E$35)-4,""),ROW(24:24)),1))</f>
        <v/>
      </c>
    </row>
    <row r="29" spans="1:22" x14ac:dyDescent="0.2">
      <c r="A29" s="22"/>
      <c r="B29" s="22"/>
      <c r="C29" s="27"/>
      <c r="D29" s="28"/>
      <c r="E29" s="7" t="str">
        <f t="shared" si="5"/>
        <v/>
      </c>
      <c r="F29" s="7" t="e">
        <f t="shared" si="1"/>
        <v>#N/A</v>
      </c>
      <c r="G29" s="7" t="e">
        <f t="shared" si="2"/>
        <v>#N/A</v>
      </c>
      <c r="H29" s="7" t="e">
        <f t="shared" si="3"/>
        <v>#N/A</v>
      </c>
      <c r="I29" s="7" t="e">
        <f t="shared" si="4"/>
        <v>#N/A</v>
      </c>
      <c r="O29" s="11" t="str">
        <f t="array" ref="O29">IF(ISERROR(INDEX($A$5:$A$35,SMALL(IF($E$5:$E$35=P$4,ROW($E$5:$E$35)-4,""),ROW(25:25)),1)),"",INDEX($A$5:$A$35,SMALL(IF($E$5:$E$35=P$4,ROW($E$5:$E$35)-4,""),ROW(25:25)),1))</f>
        <v/>
      </c>
      <c r="P29" s="12" t="str">
        <f t="array" ref="P29">IF(ISERROR(INDEX($B$5:$B$35,SMALL(IF($E$5:$E$35=P$4,ROW($E$5:$E$35)-4,""),ROW(25:25)),1)),"",INDEX($B$5:$B$35,SMALL(IF($E$5:$E$35=P$4,ROW($E$5:$E$35)-4,""),ROW(25:25)),1))</f>
        <v/>
      </c>
      <c r="Q29" s="11" t="str">
        <f t="array" ref="Q29">IF(ISERROR(INDEX($A$5:$A$35,SMALL(IF($E$5:$E$35=R$4,ROW($E$5:$E$35)-4,""),ROW(25:25)),1)),"",INDEX($A$5:$A$35,SMALL(IF($E$5:$E$35=R$4,ROW($E$5:$E$35)-4,""),ROW(25:25)),1))</f>
        <v/>
      </c>
      <c r="R29" s="12" t="str">
        <f t="array" ref="R29">IF(ISERROR(INDEX($B$5:$B$35,SMALL(IF($E$5:$E$35=R$4,ROW($E$5:$E$35)-4,""),ROW(25:25)),1)),"",INDEX($B$5:$B$35,SMALL(IF($E$5:$E$35=R$4,ROW($E$5:$E$35)-4,""),ROW(25:25)),1))</f>
        <v/>
      </c>
      <c r="S29" s="11" t="str">
        <f t="array" ref="S29">IF(ISERROR(INDEX($A$5:$A$35,SMALL(IF($E$5:$E$35=T$4,ROW($E$5:$E$35)-4,""),ROW(25:25)),1)),"",INDEX($A$5:$A$35,SMALL(IF($E$5:$E$35=T$4,ROW($E$5:$E$35)-4,""),ROW(25:25)),1))</f>
        <v/>
      </c>
      <c r="T29" s="12" t="str">
        <f t="array" ref="T29">IF(ISERROR(INDEX($B$5:$B$35,SMALL(IF($E$5:$E$35=T$4,ROW($E$5:$E$35)-4,""),ROW(25:25)),1)),"",INDEX($B$5:$B$35,SMALL(IF($E$5:$E$35=T$4,ROW($E$5:$E$35)-4,""),ROW(25:25)),1))</f>
        <v/>
      </c>
      <c r="U29" s="11" t="str">
        <f t="array" ref="U29">IF(ISERROR(INDEX($A$5:$A$35,SMALL(IF($E$5:$E$35=V$4,ROW($E$5:$E$35)-4,""),ROW(25:25)),1)),"",INDEX($A$5:$A$35,SMALL(IF($E$5:$E$35=V$4,ROW($E$5:$E$35)-4,""),ROW(25:25)),1))</f>
        <v/>
      </c>
      <c r="V29" s="12" t="str">
        <f t="array" ref="V29">IF(ISERROR(INDEX($B$5:$B$35,SMALL(IF($E$5:$E$35=V$4,ROW($E$5:$E$35)-4,""),ROW(25:25)),1)),"",INDEX($B$5:$B$35,SMALL(IF($E$5:$E$35=V$4,ROW($E$5:$E$35)-4,""),ROW(25:25)),1))</f>
        <v/>
      </c>
    </row>
    <row r="30" spans="1:22" x14ac:dyDescent="0.2">
      <c r="A30" s="22"/>
      <c r="B30" s="22"/>
      <c r="C30" s="27"/>
      <c r="D30" s="28"/>
      <c r="E30" s="7" t="str">
        <f t="shared" si="5"/>
        <v/>
      </c>
      <c r="F30" s="7" t="e">
        <f t="shared" si="1"/>
        <v>#N/A</v>
      </c>
      <c r="G30" s="7" t="e">
        <f t="shared" si="2"/>
        <v>#N/A</v>
      </c>
      <c r="H30" s="7" t="e">
        <f t="shared" si="3"/>
        <v>#N/A</v>
      </c>
      <c r="I30" s="7" t="e">
        <f t="shared" si="4"/>
        <v>#N/A</v>
      </c>
      <c r="O30" s="11" t="str">
        <f t="array" ref="O30">IF(ISERROR(INDEX($A$5:$A$35,SMALL(IF($E$5:$E$35=P$4,ROW($E$5:$E$35)-4,""),ROW(26:26)),1)),"",INDEX($A$5:$A$35,SMALL(IF($E$5:$E$35=P$4,ROW($E$5:$E$35)-4,""),ROW(26:26)),1))</f>
        <v/>
      </c>
      <c r="P30" s="12" t="str">
        <f t="array" ref="P30">IF(ISERROR(INDEX($B$5:$B$35,SMALL(IF($E$5:$E$35=P$4,ROW($E$5:$E$35)-4,""),ROW(26:26)),1)),"",INDEX($B$5:$B$35,SMALL(IF($E$5:$E$35=P$4,ROW($E$5:$E$35)-4,""),ROW(26:26)),1))</f>
        <v/>
      </c>
      <c r="Q30" s="11" t="str">
        <f t="array" ref="Q30">IF(ISERROR(INDEX($A$5:$A$35,SMALL(IF($E$5:$E$35=R$4,ROW($E$5:$E$35)-4,""),ROW(26:26)),1)),"",INDEX($A$5:$A$35,SMALL(IF($E$5:$E$35=R$4,ROW($E$5:$E$35)-4,""),ROW(26:26)),1))</f>
        <v/>
      </c>
      <c r="R30" s="12" t="str">
        <f t="array" ref="R30">IF(ISERROR(INDEX($B$5:$B$35,SMALL(IF($E$5:$E$35=R$4,ROW($E$5:$E$35)-4,""),ROW(26:26)),1)),"",INDEX($B$5:$B$35,SMALL(IF($E$5:$E$35=R$4,ROW($E$5:$E$35)-4,""),ROW(26:26)),1))</f>
        <v/>
      </c>
      <c r="S30" s="11" t="str">
        <f t="array" ref="S30">IF(ISERROR(INDEX($A$5:$A$35,SMALL(IF($E$5:$E$35=T$4,ROW($E$5:$E$35)-4,""),ROW(26:26)),1)),"",INDEX($A$5:$A$35,SMALL(IF($E$5:$E$35=T$4,ROW($E$5:$E$35)-4,""),ROW(26:26)),1))</f>
        <v/>
      </c>
      <c r="T30" s="12" t="str">
        <f t="array" ref="T30">IF(ISERROR(INDEX($B$5:$B$35,SMALL(IF($E$5:$E$35=T$4,ROW($E$5:$E$35)-4,""),ROW(26:26)),1)),"",INDEX($B$5:$B$35,SMALL(IF($E$5:$E$35=T$4,ROW($E$5:$E$35)-4,""),ROW(26:26)),1))</f>
        <v/>
      </c>
      <c r="U30" s="11" t="str">
        <f t="array" ref="U30">IF(ISERROR(INDEX($A$5:$A$35,SMALL(IF($E$5:$E$35=V$4,ROW($E$5:$E$35)-4,""),ROW(26:26)),1)),"",INDEX($A$5:$A$35,SMALL(IF($E$5:$E$35=V$4,ROW($E$5:$E$35)-4,""),ROW(26:26)),1))</f>
        <v/>
      </c>
      <c r="V30" s="12" t="str">
        <f t="array" ref="V30">IF(ISERROR(INDEX($B$5:$B$35,SMALL(IF($E$5:$E$35=V$4,ROW($E$5:$E$35)-4,""),ROW(26:26)),1)),"",INDEX($B$5:$B$35,SMALL(IF($E$5:$E$35=V$4,ROW($E$5:$E$35)-4,""),ROW(26:26)),1))</f>
        <v/>
      </c>
    </row>
    <row r="31" spans="1:22" x14ac:dyDescent="0.2">
      <c r="A31" s="22"/>
      <c r="B31" s="22"/>
      <c r="C31" s="27"/>
      <c r="D31" s="28"/>
      <c r="E31" s="7" t="str">
        <f t="shared" si="5"/>
        <v/>
      </c>
      <c r="F31" s="7" t="e">
        <f t="shared" si="1"/>
        <v>#N/A</v>
      </c>
      <c r="G31" s="7" t="e">
        <f t="shared" si="2"/>
        <v>#N/A</v>
      </c>
      <c r="H31" s="7" t="e">
        <f t="shared" si="3"/>
        <v>#N/A</v>
      </c>
      <c r="I31" s="7" t="e">
        <f t="shared" si="4"/>
        <v>#N/A</v>
      </c>
      <c r="O31" s="11" t="str">
        <f t="array" ref="O31">IF(ISERROR(INDEX($A$5:$A$35,SMALL(IF($E$5:$E$35=P$4,ROW($E$5:$E$35)-4,""),ROW(27:27)),1)),"",INDEX($A$5:$A$35,SMALL(IF($E$5:$E$35=P$4,ROW($E$5:$E$35)-4,""),ROW(27:27)),1))</f>
        <v/>
      </c>
      <c r="P31" s="12" t="str">
        <f t="array" ref="P31">IF(ISERROR(INDEX($B$5:$B$35,SMALL(IF($E$5:$E$35=P$4,ROW($E$5:$E$35)-4,""),ROW(27:27)),1)),"",INDEX($B$5:$B$35,SMALL(IF($E$5:$E$35=P$4,ROW($E$5:$E$35)-4,""),ROW(27:27)),1))</f>
        <v/>
      </c>
      <c r="Q31" s="11" t="str">
        <f t="array" ref="Q31">IF(ISERROR(INDEX($A$5:$A$35,SMALL(IF($E$5:$E$35=R$4,ROW($E$5:$E$35)-4,""),ROW(27:27)),1)),"",INDEX($A$5:$A$35,SMALL(IF($E$5:$E$35=R$4,ROW($E$5:$E$35)-4,""),ROW(27:27)),1))</f>
        <v/>
      </c>
      <c r="R31" s="12" t="str">
        <f t="array" ref="R31">IF(ISERROR(INDEX($B$5:$B$35,SMALL(IF($E$5:$E$35=R$4,ROW($E$5:$E$35)-4,""),ROW(27:27)),1)),"",INDEX($B$5:$B$35,SMALL(IF($E$5:$E$35=R$4,ROW($E$5:$E$35)-4,""),ROW(27:27)),1))</f>
        <v/>
      </c>
      <c r="S31" s="11" t="str">
        <f t="array" ref="S31">IF(ISERROR(INDEX($A$5:$A$35,SMALL(IF($E$5:$E$35=T$4,ROW($E$5:$E$35)-4,""),ROW(27:27)),1)),"",INDEX($A$5:$A$35,SMALL(IF($E$5:$E$35=T$4,ROW($E$5:$E$35)-4,""),ROW(27:27)),1))</f>
        <v/>
      </c>
      <c r="T31" s="12" t="str">
        <f t="array" ref="T31">IF(ISERROR(INDEX($B$5:$B$35,SMALL(IF($E$5:$E$35=T$4,ROW($E$5:$E$35)-4,""),ROW(27:27)),1)),"",INDEX($B$5:$B$35,SMALL(IF($E$5:$E$35=T$4,ROW($E$5:$E$35)-4,""),ROW(27:27)),1))</f>
        <v/>
      </c>
      <c r="U31" s="11" t="str">
        <f t="array" ref="U31">IF(ISERROR(INDEX($A$5:$A$35,SMALL(IF($E$5:$E$35=V$4,ROW($E$5:$E$35)-4,""),ROW(27:27)),1)),"",INDEX($A$5:$A$35,SMALL(IF($E$5:$E$35=V$4,ROW($E$5:$E$35)-4,""),ROW(27:27)),1))</f>
        <v/>
      </c>
      <c r="V31" s="12" t="str">
        <f t="array" ref="V31">IF(ISERROR(INDEX($B$5:$B$35,SMALL(IF($E$5:$E$35=V$4,ROW($E$5:$E$35)-4,""),ROW(27:27)),1)),"",INDEX($B$5:$B$35,SMALL(IF($E$5:$E$35=V$4,ROW($E$5:$E$35)-4,""),ROW(27:27)),1))</f>
        <v/>
      </c>
    </row>
    <row r="32" spans="1:22" x14ac:dyDescent="0.2">
      <c r="A32" s="22"/>
      <c r="B32" s="22"/>
      <c r="C32" s="27"/>
      <c r="D32" s="28"/>
      <c r="E32" s="7" t="str">
        <f t="shared" si="5"/>
        <v/>
      </c>
      <c r="F32" s="7" t="e">
        <f t="shared" si="1"/>
        <v>#N/A</v>
      </c>
      <c r="G32" s="7" t="e">
        <f t="shared" si="2"/>
        <v>#N/A</v>
      </c>
      <c r="H32" s="7" t="e">
        <f t="shared" si="3"/>
        <v>#N/A</v>
      </c>
      <c r="I32" s="7" t="e">
        <f t="shared" si="4"/>
        <v>#N/A</v>
      </c>
      <c r="O32" s="11" t="str">
        <f t="array" ref="O32">IF(ISERROR(INDEX($A$5:$A$35,SMALL(IF($E$5:$E$35=P$4,ROW($E$5:$E$35)-4,""),ROW(28:28)),1)),"",INDEX($A$5:$A$35,SMALL(IF($E$5:$E$35=P$4,ROW($E$5:$E$35)-4,""),ROW(28:28)),1))</f>
        <v/>
      </c>
      <c r="P32" s="12" t="str">
        <f t="array" ref="P32">IF(ISERROR(INDEX($B$5:$B$35,SMALL(IF($E$5:$E$35=P$4,ROW($E$5:$E$35)-4,""),ROW(28:28)),1)),"",INDEX($B$5:$B$35,SMALL(IF($E$5:$E$35=P$4,ROW($E$5:$E$35)-4,""),ROW(28:28)),1))</f>
        <v/>
      </c>
      <c r="Q32" s="11" t="str">
        <f t="array" ref="Q32">IF(ISERROR(INDEX($A$5:$A$35,SMALL(IF($E$5:$E$35=R$4,ROW($E$5:$E$35)-4,""),ROW(28:28)),1)),"",INDEX($A$5:$A$35,SMALL(IF($E$5:$E$35=R$4,ROW($E$5:$E$35)-4,""),ROW(28:28)),1))</f>
        <v/>
      </c>
      <c r="R32" s="12" t="str">
        <f t="array" ref="R32">IF(ISERROR(INDEX($B$5:$B$35,SMALL(IF($E$5:$E$35=R$4,ROW($E$5:$E$35)-4,""),ROW(28:28)),1)),"",INDEX($B$5:$B$35,SMALL(IF($E$5:$E$35=R$4,ROW($E$5:$E$35)-4,""),ROW(28:28)),1))</f>
        <v/>
      </c>
      <c r="S32" s="11" t="str">
        <f t="array" ref="S32">IF(ISERROR(INDEX($A$5:$A$35,SMALL(IF($E$5:$E$35=T$4,ROW($E$5:$E$35)-4,""),ROW(28:28)),1)),"",INDEX($A$5:$A$35,SMALL(IF($E$5:$E$35=T$4,ROW($E$5:$E$35)-4,""),ROW(28:28)),1))</f>
        <v/>
      </c>
      <c r="T32" s="12" t="str">
        <f t="array" ref="T32">IF(ISERROR(INDEX($B$5:$B$35,SMALL(IF($E$5:$E$35=T$4,ROW($E$5:$E$35)-4,""),ROW(28:28)),1)),"",INDEX($B$5:$B$35,SMALL(IF($E$5:$E$35=T$4,ROW($E$5:$E$35)-4,""),ROW(28:28)),1))</f>
        <v/>
      </c>
      <c r="U32" s="11" t="str">
        <f t="array" ref="U32">IF(ISERROR(INDEX($A$5:$A$35,SMALL(IF($E$5:$E$35=V$4,ROW($E$5:$E$35)-4,""),ROW(28:28)),1)),"",INDEX($A$5:$A$35,SMALL(IF($E$5:$E$35=V$4,ROW($E$5:$E$35)-4,""),ROW(28:28)),1))</f>
        <v/>
      </c>
      <c r="V32" s="12" t="str">
        <f t="array" ref="V32">IF(ISERROR(INDEX($B$5:$B$35,SMALL(IF($E$5:$E$35=V$4,ROW($E$5:$E$35)-4,""),ROW(28:28)),1)),"",INDEX($B$5:$B$35,SMALL(IF($E$5:$E$35=V$4,ROW($E$5:$E$35)-4,""),ROW(28:28)),1))</f>
        <v/>
      </c>
    </row>
    <row r="33" spans="1:22" x14ac:dyDescent="0.2">
      <c r="A33" s="29"/>
      <c r="B33" s="29"/>
      <c r="C33" s="27"/>
      <c r="D33" s="28"/>
      <c r="E33" s="7" t="str">
        <f t="shared" si="5"/>
        <v/>
      </c>
      <c r="F33" s="7" t="e">
        <f t="shared" si="1"/>
        <v>#N/A</v>
      </c>
      <c r="G33" s="7" t="e">
        <f t="shared" si="2"/>
        <v>#N/A</v>
      </c>
      <c r="H33" s="7" t="e">
        <f t="shared" si="3"/>
        <v>#N/A</v>
      </c>
      <c r="I33" s="7" t="e">
        <f t="shared" si="4"/>
        <v>#N/A</v>
      </c>
      <c r="O33" s="11" t="str">
        <f t="array" ref="O33">IF(ISERROR(INDEX($A$5:$A$35,SMALL(IF($E$5:$E$35=P$4,ROW($E$5:$E$35)-4,""),ROW(29:29)),1)),"",INDEX($A$5:$A$35,SMALL(IF($E$5:$E$35=P$4,ROW($E$5:$E$35)-4,""),ROW(29:29)),1))</f>
        <v/>
      </c>
      <c r="P33" s="12" t="str">
        <f t="array" ref="P33">IF(ISERROR(INDEX($B$5:$B$35,SMALL(IF($E$5:$E$35=P$4,ROW($E$5:$E$35)-4,""),ROW(29:29)),1)),"",INDEX($B$5:$B$35,SMALL(IF($E$5:$E$35=P$4,ROW($E$5:$E$35)-4,""),ROW(29:29)),1))</f>
        <v/>
      </c>
      <c r="Q33" s="11" t="str">
        <f t="array" ref="Q33">IF(ISERROR(INDEX($A$5:$A$35,SMALL(IF($E$5:$E$35=R$4,ROW($E$5:$E$35)-4,""),ROW(29:29)),1)),"",INDEX($A$5:$A$35,SMALL(IF($E$5:$E$35=R$4,ROW($E$5:$E$35)-4,""),ROW(29:29)),1))</f>
        <v/>
      </c>
      <c r="R33" s="12" t="str">
        <f t="array" ref="R33">IF(ISERROR(INDEX($B$5:$B$35,SMALL(IF($E$5:$E$35=R$4,ROW($E$5:$E$35)-4,""),ROW(29:29)),1)),"",INDEX($B$5:$B$35,SMALL(IF($E$5:$E$35=R$4,ROW($E$5:$E$35)-4,""),ROW(29:29)),1))</f>
        <v/>
      </c>
      <c r="S33" s="11" t="str">
        <f t="array" ref="S33">IF(ISERROR(INDEX($A$5:$A$35,SMALL(IF($E$5:$E$35=T$4,ROW($E$5:$E$35)-4,""),ROW(29:29)),1)),"",INDEX($A$5:$A$35,SMALL(IF($E$5:$E$35=T$4,ROW($E$5:$E$35)-4,""),ROW(29:29)),1))</f>
        <v/>
      </c>
      <c r="T33" s="12" t="str">
        <f t="array" ref="T33">IF(ISERROR(INDEX($B$5:$B$35,SMALL(IF($E$5:$E$35=T$4,ROW($E$5:$E$35)-4,""),ROW(29:29)),1)),"",INDEX($B$5:$B$35,SMALL(IF($E$5:$E$35=T$4,ROW($E$5:$E$35)-4,""),ROW(29:29)),1))</f>
        <v/>
      </c>
      <c r="U33" s="11" t="str">
        <f t="array" ref="U33">IF(ISERROR(INDEX($A$5:$A$35,SMALL(IF($E$5:$E$35=V$4,ROW($E$5:$E$35)-4,""),ROW(29:29)),1)),"",INDEX($A$5:$A$35,SMALL(IF($E$5:$E$35=V$4,ROW($E$5:$E$35)-4,""),ROW(29:29)),1))</f>
        <v/>
      </c>
      <c r="V33" s="12" t="str">
        <f t="array" ref="V33">IF(ISERROR(INDEX($B$5:$B$35,SMALL(IF($E$5:$E$35=V$4,ROW($E$5:$E$35)-4,""),ROW(29:29)),1)),"",INDEX($B$5:$B$35,SMALL(IF($E$5:$E$35=V$4,ROW($E$5:$E$35)-4,""),ROW(29:29)),1))</f>
        <v/>
      </c>
    </row>
    <row r="34" spans="1:22" x14ac:dyDescent="0.2">
      <c r="A34" s="29"/>
      <c r="B34" s="29"/>
      <c r="C34" s="27"/>
      <c r="D34" s="28"/>
      <c r="E34" s="7" t="str">
        <f t="shared" si="5"/>
        <v/>
      </c>
      <c r="F34" s="7" t="e">
        <f t="shared" si="1"/>
        <v>#N/A</v>
      </c>
      <c r="G34" s="7" t="e">
        <f t="shared" si="2"/>
        <v>#N/A</v>
      </c>
      <c r="H34" s="7" t="e">
        <f t="shared" si="3"/>
        <v>#N/A</v>
      </c>
      <c r="I34" s="7" t="e">
        <f t="shared" si="4"/>
        <v>#N/A</v>
      </c>
      <c r="O34" s="11" t="str">
        <f t="array" ref="O34">IF(ISERROR(INDEX($A$5:$A$35,SMALL(IF($E$5:$E$35=P$4,ROW($E$5:$E$35)-4,""),ROW(30:30)),1)),"",INDEX($A$5:$A$35,SMALL(IF($E$5:$E$35=P$4,ROW($E$5:$E$35)-4,""),ROW(30:30)),1))</f>
        <v/>
      </c>
      <c r="P34" s="12" t="str">
        <f t="array" ref="P34">IF(ISERROR(INDEX($B$5:$B$35,SMALL(IF($E$5:$E$35=P$4,ROW($E$5:$E$35)-4,""),ROW(30:30)),1)),"",INDEX($B$5:$B$35,SMALL(IF($E$5:$E$35=P$4,ROW($E$5:$E$35)-4,""),ROW(30:30)),1))</f>
        <v/>
      </c>
      <c r="Q34" s="11" t="str">
        <f t="array" ref="Q34">IF(ISERROR(INDEX($A$5:$A$35,SMALL(IF($E$5:$E$35=R$4,ROW($E$5:$E$35)-4,""),ROW(30:30)),1)),"",INDEX($A$5:$A$35,SMALL(IF($E$5:$E$35=R$4,ROW($E$5:$E$35)-4,""),ROW(30:30)),1))</f>
        <v/>
      </c>
      <c r="R34" s="12" t="str">
        <f t="array" ref="R34">IF(ISERROR(INDEX($B$5:$B$35,SMALL(IF($E$5:$E$35=R$4,ROW($E$5:$E$35)-4,""),ROW(30:30)),1)),"",INDEX($B$5:$B$35,SMALL(IF($E$5:$E$35=R$4,ROW($E$5:$E$35)-4,""),ROW(30:30)),1))</f>
        <v/>
      </c>
      <c r="S34" s="11" t="str">
        <f t="array" ref="S34">IF(ISERROR(INDEX($A$5:$A$35,SMALL(IF($E$5:$E$35=T$4,ROW($E$5:$E$35)-4,""),ROW(30:30)),1)),"",INDEX($A$5:$A$35,SMALL(IF($E$5:$E$35=T$4,ROW($E$5:$E$35)-4,""),ROW(30:30)),1))</f>
        <v/>
      </c>
      <c r="T34" s="12" t="str">
        <f t="array" ref="T34">IF(ISERROR(INDEX($B$5:$B$35,SMALL(IF($E$5:$E$35=T$4,ROW($E$5:$E$35)-4,""),ROW(30:30)),1)),"",INDEX($B$5:$B$35,SMALL(IF($E$5:$E$35=T$4,ROW($E$5:$E$35)-4,""),ROW(30:30)),1))</f>
        <v/>
      </c>
      <c r="U34" s="11" t="str">
        <f t="array" ref="U34">IF(ISERROR(INDEX($A$5:$A$35,SMALL(IF($E$5:$E$35=V$4,ROW($E$5:$E$35)-4,""),ROW(30:30)),1)),"",INDEX($A$5:$A$35,SMALL(IF($E$5:$E$35=V$4,ROW($E$5:$E$35)-4,""),ROW(30:30)),1))</f>
        <v/>
      </c>
      <c r="V34" s="12" t="str">
        <f t="array" ref="V34">IF(ISERROR(INDEX($B$5:$B$35,SMALL(IF($E$5:$E$35=V$4,ROW($E$5:$E$35)-4,""),ROW(30:30)),1)),"",INDEX($B$5:$B$35,SMALL(IF($E$5:$E$35=V$4,ROW($E$5:$E$35)-4,""),ROW(30:30)),1))</f>
        <v/>
      </c>
    </row>
    <row r="35" spans="1:22" x14ac:dyDescent="0.2">
      <c r="A35" s="29"/>
      <c r="B35" s="29"/>
      <c r="C35" s="27"/>
      <c r="D35" s="28"/>
      <c r="E35" s="7" t="str">
        <f t="shared" si="5"/>
        <v/>
      </c>
      <c r="F35" s="7" t="e">
        <f t="shared" si="1"/>
        <v>#N/A</v>
      </c>
      <c r="G35" s="7" t="e">
        <f t="shared" si="2"/>
        <v>#N/A</v>
      </c>
      <c r="H35" s="7" t="e">
        <f t="shared" si="3"/>
        <v>#N/A</v>
      </c>
      <c r="I35" s="7" t="e">
        <f t="shared" si="4"/>
        <v>#N/A</v>
      </c>
      <c r="O35" s="18" t="str">
        <f t="array" ref="O35">IF(ISERROR(INDEX($A$5:$A$35,SMALL(IF($E$5:$E$35=P$4,ROW($E$5:$E$35)-4,""),ROW(31:31)),1)),"",INDEX($A$5:$A$35,SMALL(IF($E$5:$E$35=P$4,ROW($E$5:$E$35)-4,""),ROW(31:31)),1))</f>
        <v/>
      </c>
      <c r="P35" s="19" t="str">
        <f t="array" ref="P35">IF(ISERROR(INDEX($B$5:$B$35,SMALL(IF($E$5:$E$35=P$4,ROW($E$5:$E$35)-4,""),ROW(31:31)),1)),"",INDEX($B$5:$B$35,SMALL(IF($E$5:$E$35=P$4,ROW($E$5:$E$35)-4,""),ROW(31:31)),1))</f>
        <v/>
      </c>
      <c r="Q35" s="18" t="str">
        <f t="array" ref="Q35">IF(ISERROR(INDEX($A$5:$A$35,SMALL(IF($E$5:$E$35=R$4,ROW($E$5:$E$35)-4,""),ROW(31:31)),1)),"",INDEX($A$5:$A$35,SMALL(IF($E$5:$E$35=R$4,ROW($E$5:$E$35)-4,""),ROW(31:31)),1))</f>
        <v/>
      </c>
      <c r="R35" s="19" t="str">
        <f t="array" ref="R35">IF(ISERROR(INDEX($B$5:$B$35,SMALL(IF($E$5:$E$35=R$4,ROW($E$5:$E$35)-4,""),ROW(31:31)),1)),"",INDEX($B$5:$B$35,SMALL(IF($E$5:$E$35=R$4,ROW($E$5:$E$35)-4,""),ROW(31:31)),1))</f>
        <v/>
      </c>
      <c r="S35" s="18" t="str">
        <f t="array" ref="S35">IF(ISERROR(INDEX($A$5:$A$35,SMALL(IF($E$5:$E$35=T$4,ROW($E$5:$E$35)-4,""),ROW(31:31)),1)),"",INDEX($A$5:$A$35,SMALL(IF($E$5:$E$35=T$4,ROW($E$5:$E$35)-4,""),ROW(31:31)),1))</f>
        <v/>
      </c>
      <c r="T35" s="19" t="str">
        <f t="array" ref="T35">IF(ISERROR(INDEX($B$5:$B$35,SMALL(IF($E$5:$E$35=T$4,ROW($E$5:$E$35)-4,""),ROW(31:31)),1)),"",INDEX($B$5:$B$35,SMALL(IF($E$5:$E$35=T$4,ROW($E$5:$E$35)-4,""),ROW(31:31)),1))</f>
        <v/>
      </c>
      <c r="U35" s="18" t="str">
        <f t="array" ref="U35">IF(ISERROR(INDEX($A$5:$A$35,SMALL(IF($E$5:$E$35=V$4,ROW($E$5:$E$35)-4,""),ROW(31:31)),1)),"",INDEX($A$5:$A$35,SMALL(IF($E$5:$E$35=V$4,ROW($E$5:$E$35)-4,""),ROW(31:31)),1))</f>
        <v/>
      </c>
      <c r="V35" s="19" t="str">
        <f t="array" ref="V35">IF(ISERROR(INDEX($B$5:$B$35,SMALL(IF($E$5:$E$35=V$4,ROW($E$5:$E$35)-4,""),ROW(31:31)),1)),"",INDEX($B$5:$B$35,SMALL(IF($E$5:$E$35=V$4,ROW($E$5:$E$35)-4,""),ROW(31:31)),1))</f>
        <v/>
      </c>
    </row>
    <row r="36" spans="1:22" x14ac:dyDescent="0.2">
      <c r="O36" s="20"/>
      <c r="P36" s="20"/>
    </row>
    <row r="48" spans="1:22" x14ac:dyDescent="0.2">
      <c r="G48" s="21"/>
    </row>
    <row r="1048576" spans="19:20" x14ac:dyDescent="0.2">
      <c r="S1048576" s="20"/>
      <c r="T1048576" s="20"/>
    </row>
  </sheetData>
  <dataValidations count="1">
    <dataValidation type="list" allowBlank="1" showInputMessage="1" showErrorMessage="1" sqref="B2" xr:uid="{5C2C7CB3-02D8-4083-AEDE-197CDF216A96}">
      <formula1>"Mittelwert, Median"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Guizar Rosales</dc:creator>
  <cp:lastModifiedBy>Emmanuel Guizar Rosales</cp:lastModifiedBy>
  <dcterms:created xsi:type="dcterms:W3CDTF">2026-04-22T13:41:57Z</dcterms:created>
  <dcterms:modified xsi:type="dcterms:W3CDTF">2026-04-22T15:16:05Z</dcterms:modified>
</cp:coreProperties>
</file>